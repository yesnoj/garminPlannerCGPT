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85694b\Downloads\"/>
    </mc:Choice>
  </mc:AlternateContent>
  <xr:revisionPtr revIDLastSave="0" documentId="13_ncr:1_{9C49CB68-C1FA-4809-989F-A6024676E241}" xr6:coauthVersionLast="47" xr6:coauthVersionMax="47" xr10:uidLastSave="{00000000-0000-0000-0000-000000000000}"/>
  <bookViews>
    <workbookView xWindow="-28920" yWindow="-120" windowWidth="29040" windowHeight="15720" tabRatio="500" activeTab="1" xr2:uid="{00000000-000D-0000-FFFF-FFFF00000000}"/>
  </bookViews>
  <sheets>
    <sheet name="Impostazioni" sheetId="1" r:id="rId1"/>
    <sheet name="Workouts" sheetId="2" r:id="rId2"/>
    <sheet name="Parameters" sheetId="3" r:id="rId3"/>
    <sheet name="Esempi DSL" sheetId="4" r:id="rId4"/>
    <sheet name="Regole" sheetId="5" state="hidden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" l="1"/>
  <c r="D14" i="1" s="1"/>
  <c r="D12" i="1"/>
  <c r="D11" i="1"/>
  <c r="G17" i="1" l="1"/>
  <c r="F17" i="1"/>
  <c r="E17" i="1"/>
  <c r="E28" i="1" s="1"/>
  <c r="E29" i="1" s="1"/>
  <c r="B24" i="1"/>
  <c r="D15" i="1"/>
  <c r="D28" i="1" l="1"/>
  <c r="D29" i="1" s="1"/>
  <c r="C28" i="1"/>
  <c r="C29" i="1" s="1"/>
  <c r="H28" i="1"/>
  <c r="H29" i="1" s="1"/>
  <c r="F28" i="1"/>
  <c r="F29" i="1" s="1"/>
  <c r="B53" i="2"/>
  <c r="B5" i="2"/>
  <c r="B50" i="2"/>
  <c r="B2" i="2"/>
  <c r="B11" i="2"/>
  <c r="B65" i="2"/>
  <c r="B17" i="2"/>
  <c r="B32" i="2"/>
  <c r="B21" i="1"/>
  <c r="B47" i="2"/>
  <c r="B62" i="2"/>
  <c r="B14" i="2"/>
  <c r="B29" i="2"/>
  <c r="B35" i="2"/>
  <c r="B44" i="2"/>
  <c r="B59" i="2"/>
  <c r="B26" i="2"/>
  <c r="B38" i="2"/>
  <c r="B41" i="2"/>
  <c r="B56" i="2"/>
  <c r="B8" i="2"/>
  <c r="B20" i="2"/>
  <c r="B23" i="2"/>
  <c r="G28" i="1"/>
  <c r="G29" i="1" s="1"/>
  <c r="G18" i="1"/>
  <c r="B70" i="2" s="1"/>
  <c r="F18" i="1"/>
  <c r="B69" i="2" s="1"/>
  <c r="E18" i="1"/>
  <c r="B68" i="2" s="1"/>
  <c r="B54" i="2"/>
  <c r="B21" i="2"/>
  <c r="B51" i="2"/>
  <c r="B66" i="2"/>
  <c r="B18" i="2"/>
  <c r="B33" i="2"/>
  <c r="B22" i="1"/>
  <c r="B48" i="2"/>
  <c r="B63" i="2"/>
  <c r="B15" i="2"/>
  <c r="B30" i="2"/>
  <c r="B6" i="2"/>
  <c r="B45" i="2"/>
  <c r="B12" i="2"/>
  <c r="B60" i="2"/>
  <c r="B36" i="2"/>
  <c r="B27" i="2"/>
  <c r="B42" i="2"/>
  <c r="B57" i="2"/>
  <c r="B9" i="2"/>
  <c r="B3" i="2"/>
  <c r="B24" i="2"/>
  <c r="B39" i="2"/>
  <c r="B37" i="2"/>
  <c r="B67" i="2"/>
  <c r="B34" i="2"/>
  <c r="B23" i="1"/>
  <c r="B49" i="2"/>
  <c r="B19" i="2"/>
  <c r="B64" i="2"/>
  <c r="B16" i="2"/>
  <c r="B52" i="2"/>
  <c r="B31" i="2"/>
  <c r="B4" i="2"/>
  <c r="B46" i="2"/>
  <c r="B61" i="2"/>
  <c r="B13" i="2"/>
  <c r="B28" i="2"/>
  <c r="B43" i="2"/>
  <c r="B58" i="2"/>
  <c r="B10" i="2"/>
  <c r="B25" i="2"/>
  <c r="B40" i="2"/>
  <c r="B22" i="2"/>
  <c r="B55" i="2"/>
  <c r="B7" i="2"/>
  <c r="B28" i="1"/>
  <c r="B29" i="1" s="1"/>
</calcChain>
</file>

<file path=xl/sharedStrings.xml><?xml version="1.0" encoding="utf-8"?>
<sst xmlns="http://schemas.openxmlformats.org/spreadsheetml/2006/main" count="505" uniqueCount="326">
  <si>
    <t>Piano Mezza Maratona d'Italia 2027 – Impostazioni</t>
  </si>
  <si>
    <t>Modifica solo le celle gialle (menu a tendina). Le date nel foglio Workouts si aggiornano da sole.</t>
  </si>
  <si>
    <t>Nuoto – giorno 1</t>
  </si>
  <si>
    <t>Martedì</t>
  </si>
  <si>
    <t>Nuoto – giorno 2</t>
  </si>
  <si>
    <t>Giovedì</t>
  </si>
  <si>
    <t>Giorno del lungo</t>
  </si>
  <si>
    <t>Sabato</t>
  </si>
  <si>
    <t>Inizio piano (lunedì settimana 1)</t>
  </si>
  <si>
    <t>Fisso: la settimana 23 finisce con la gara</t>
  </si>
  <si>
    <t>Gara (domenica, fissa)</t>
  </si>
  <si>
    <t>Calcoli (non modificare)</t>
  </si>
  <si>
    <t>n. nuoto 1</t>
  </si>
  <si>
    <t>n. nuoto 2</t>
  </si>
  <si>
    <t>n. lungo</t>
  </si>
  <si>
    <t>chiave</t>
  </si>
  <si>
    <t>chiave gara</t>
  </si>
  <si>
    <t>Facile</t>
  </si>
  <si>
    <t>Qualità</t>
  </si>
  <si>
    <t>Lungo</t>
  </si>
  <si>
    <t>Offset settimana normale</t>
  </si>
  <si>
    <t>Offset settimana gara</t>
  </si>
  <si>
    <t>Risultato</t>
  </si>
  <si>
    <t>Corsa facile</t>
  </si>
  <si>
    <t>Seduta di qualità</t>
  </si>
  <si>
    <t>Controllo</t>
  </si>
  <si>
    <t>Settimana tipo</t>
  </si>
  <si>
    <t>Lunedì</t>
  </si>
  <si>
    <t>Mercoledì</t>
  </si>
  <si>
    <t>Venerdì</t>
  </si>
  <si>
    <t>Domenica</t>
  </si>
  <si>
    <t>Attività</t>
  </si>
  <si>
    <t>Come si usa</t>
  </si>
  <si>
    <t>1. Scegli i giorni nelle celle gialle e SALVA il file in Excel (così le date vengono memorizzate).</t>
  </si>
  <si>
    <t>2. Carica il file in garminPlannerCGPT e usa Carica+Pianifica.</t>
  </si>
  <si>
    <t>3. Il programma, quando salva, tiene solo Workouts, Parameters ed Esempi DSL: conserva una copia di questo file come originale.</t>
  </si>
  <si>
    <t>4. Settimana 23: la gara resta domenica 14/03; facile e rifinitura vengono messe prima, lontane dal sabato.</t>
  </si>
  <si>
    <t>Week</t>
  </si>
  <si>
    <t>Date</t>
  </si>
  <si>
    <t>Session</t>
  </si>
  <si>
    <t>Sport</t>
  </si>
  <si>
    <t>Description</t>
  </si>
  <si>
    <t>Steps</t>
  </si>
  <si>
    <t>WorkoutId</t>
  </si>
  <si>
    <t>WorkoutScheduleId</t>
  </si>
  <si>
    <t>ScheduledDate</t>
  </si>
  <si>
    <t>Running</t>
  </si>
  <si>
    <t>Facile 35’ FC&lt;145</t>
  </si>
  <si>
    <t>interval: 35min @ HR_Z2</t>
  </si>
  <si>
    <t>Lungo 7 km FC&lt;150</t>
  </si>
  <si>
    <t>interval: 7km @ HR_Z3</t>
  </si>
  <si>
    <t>Facile 35’ FC&lt;145 + 4 allunghi</t>
  </si>
  <si>
    <t>interval: 35min @ HR_Z2
repeat 4:
  interval: 20sec
  recovery: 1min @ Z1</t>
  </si>
  <si>
    <t>Facile 40’ FC&lt;145</t>
  </si>
  <si>
    <t>interval: 40min @ HR_Z2</t>
  </si>
  <si>
    <t>Lungo 8 km FC&lt;150</t>
  </si>
  <si>
    <t>interval: 8km @ HR_Z3</t>
  </si>
  <si>
    <t>Facile 40’ FC&lt;145 + 4 allunghi</t>
  </si>
  <si>
    <t>interval: 40min @ HR_Z2
repeat 4:
  interval: 20sec
  recovery: 1min @ Z1</t>
  </si>
  <si>
    <t>Fartlek 6×(1’ @5:05-5:15 + 2’ facile)</t>
  </si>
  <si>
    <t>warmup: 10min @ HR_Z2
repeat 6:
  interval: 1min @ threshold_range
  recovery: 2min @ Z2
cooldown: 10min @ HR_Z2</t>
  </si>
  <si>
    <t>Lungo 9 km FC&lt;150</t>
  </si>
  <si>
    <t>interval: 9km @ HR_Z3</t>
  </si>
  <si>
    <t>Facile 35’ FC&lt;145 + 6 allunghi</t>
  </si>
  <si>
    <t>interval: 35min @ HR_Z2
repeat 6:
  interval: 20sec
  recovery: 1min @ Z1</t>
  </si>
  <si>
    <t>4×1000 m @5:00-5:10 rec 2’</t>
  </si>
  <si>
    <t>warmup: 15min @ HR_Z2
repeat 4:
  interval: 1000m @ 5:00-5:10
  recovery: 2min @ Z1
cooldown: 10min @ HR_Z2</t>
  </si>
  <si>
    <t>Lungo 10 km FC&lt;150</t>
  </si>
  <si>
    <t>interval: 10km @ HR_Z3</t>
  </si>
  <si>
    <t>2×10’ @5:05-5:15 rec 3’</t>
  </si>
  <si>
    <t>warmup: 15min @ HR_Z2
repeat 2:
  interval: 10min @ threshold_range
  recovery: 3min @ Z1
cooldown: 10min @ HR_Z2</t>
  </si>
  <si>
    <t>Lungo 11 km FC&lt;150</t>
  </si>
  <si>
    <t>interval: 11km @ HR_Z3</t>
  </si>
  <si>
    <t>Facile 50’ FC&lt;145 + 4 allunghi</t>
  </si>
  <si>
    <t>interval: 50min @ HR_Z2
repeat 4:
  interval: 20sec
  recovery: 1min @ Z1</t>
  </si>
  <si>
    <t>6×800 m @4:50-5:00 rec 2’</t>
  </si>
  <si>
    <t>warmup: 15min @ HR_Z2
repeat 6:
  interval: 800m @ vo2
  recovery: 2min @ Z1
cooldown: 10min @ HR_Z2</t>
  </si>
  <si>
    <t>Lungo 12 km FC&lt;150</t>
  </si>
  <si>
    <t>interval: 12km @ HR_Z3</t>
  </si>
  <si>
    <t>3×8’ @5:05-5:15 rec 2’</t>
  </si>
  <si>
    <t>warmup: 15min @ HR_Z2
repeat 3:
  interval: 8min @ threshold_range
  recovery: 2min @ Z1
cooldown: 10min @ HR_Z2</t>
  </si>
  <si>
    <t>Facile 50’ FC&lt;145</t>
  </si>
  <si>
    <t>interval: 50min @ HR_Z2</t>
  </si>
  <si>
    <t>5×1000 m @4:50-5:00 rec 2’</t>
  </si>
  <si>
    <t>warmup: 15min @ HR_Z2
repeat 5:
  interval: 1000m @ vo2
  recovery: 2min @ Z1
cooldown: 10min @ HR_Z2</t>
  </si>
  <si>
    <t>Lungo 13 km FC&lt;150</t>
  </si>
  <si>
    <t>interval: 13km @ HR_Z3</t>
  </si>
  <si>
    <t>3×10’ @5:05-5:15 rec 3’</t>
  </si>
  <si>
    <t>warmup: 15min @ HR_Z2
repeat 3:
  interval: 10min @ threshold_range
  recovery: 3min @ Z1
cooldown: 10min @ HR_Z2</t>
  </si>
  <si>
    <t>Lungo 14 km FC&lt;150 (ultimi 2 km @5:35)</t>
  </si>
  <si>
    <t>interval: 12km @ HR_Z3
interval: 2km @ hmp</t>
  </si>
  <si>
    <t>8×400 m @4:40-4:50 rec 1’30”</t>
  </si>
  <si>
    <t>warmup: 15min @ HR_Z2
repeat 8:
  interval: 400m @ fast
  recovery: 90sec @ Z1
cooldown: 10min @ HR_Z2</t>
  </si>
  <si>
    <t>Lungo 15 km FC&lt;150</t>
  </si>
  <si>
    <t>interval: 15km @ HR_Z3</t>
  </si>
  <si>
    <t>Fartlek 6×(2’ @5:05-5:15 + 2’ facile)</t>
  </si>
  <si>
    <t>warmup: 10min @ HR_Z2
repeat 6:
  interval: 2min @ threshold_range
  recovery: 2min @ Z2
cooldown: 10min @ HR_Z2</t>
  </si>
  <si>
    <t>2×15’ @5:05-5:15 rec 3’</t>
  </si>
  <si>
    <t>warmup: 15min @ HR_Z2
repeat 2:
  interval: 15min @ threshold_range
  recovery: 3min @ Z1
cooldown: 10min @ HR_Z2</t>
  </si>
  <si>
    <t>Lungo 15 km FC&lt;150 (ultimi 3 km @5:35)</t>
  </si>
  <si>
    <t>interval: 12km @ HR_Z3
interval: 3km @ hmp</t>
  </si>
  <si>
    <t>4×2 km @5:05-5:15 rec 2’</t>
  </si>
  <si>
    <t>warmup: 15min @ HR_Z2
repeat 4:
  interval: 2km @ threshold_range
  recovery: 2min @ Z1
cooldown: 10min @ HR_Z2</t>
  </si>
  <si>
    <t>Lungo 16 km FC&lt;150</t>
  </si>
  <si>
    <t>interval: 16km @ HR_Z3</t>
  </si>
  <si>
    <t>Facile 55’ FC&lt;145 + 4 allunghi</t>
  </si>
  <si>
    <t>interval: 55min @ HR_Z2
repeat 4:
  interval: 20sec
  recovery: 1min @ Z1</t>
  </si>
  <si>
    <t>6×1000 m @4:50-5:00 rec 2’</t>
  </si>
  <si>
    <t>warmup: 15min @ HR_Z2
repeat 6:
  interval: 1000m @ vo2
  recovery: 2min @ Z1
cooldown: 10min @ HR_Z2</t>
  </si>
  <si>
    <t>Lungo 17 km FC&lt;150 (ultimi 4 km @5:35)</t>
  </si>
  <si>
    <t>interval: 13km @ HR_Z3
interval: 4km @ hmp</t>
  </si>
  <si>
    <t>Facile 40’ FC&lt;145 + 6 allunghi</t>
  </si>
  <si>
    <t>interval: 40min @ HR_Z2
repeat 6:
  interval: 20sec
  recovery: 1min @ Z1</t>
  </si>
  <si>
    <t>Test 5 km a tutta</t>
  </si>
  <si>
    <t>warmup: 15min @ HR_Z2
repeat 3:
  interval: 20sec
  recovery: 1min @ Z1
interval: 5km
cooldown: 10min @ HR_Z2</t>
  </si>
  <si>
    <t>2×3 km @5:35 rec 2’</t>
  </si>
  <si>
    <t>warmup: 15min @ HR_Z2
repeat 2:
  interval: 3km @ hmp
  recovery: 2min @ Z1
cooldown: 10min @ HR_Z2</t>
  </si>
  <si>
    <t>3×3 km @5:35 rec 3’</t>
  </si>
  <si>
    <t>warmup: 15min @ HR_Z2
repeat 3:
  interval: 3km @ hmp
  recovery: 3min @ Z1
cooldown: 10min @ HR_Z2</t>
  </si>
  <si>
    <t>Lungo 18 km FC&lt;150</t>
  </si>
  <si>
    <t>interval: 18km @ HR_Z3</t>
  </si>
  <si>
    <t>Facile 55’ FC&lt;145</t>
  </si>
  <si>
    <t>interval: 55min @ HR_Z2</t>
  </si>
  <si>
    <t>Soglia 25’ continui @5:05-5:15</t>
  </si>
  <si>
    <t>warmup: 15min @ HR_Z2
interval: 25min @ threshold_range
cooldown: 10min @ HR_Z2</t>
  </si>
  <si>
    <t>Lungo 19 km FC&lt;150 (ultimi 5 km @5:35)</t>
  </si>
  <si>
    <t>interval: 14km @ HR_Z3
interval: 5km @ hmp</t>
  </si>
  <si>
    <t>Lungo 14 km FC&lt;150</t>
  </si>
  <si>
    <t>interval: 14km @ HR_Z3</t>
  </si>
  <si>
    <t>2×5 km @5:35 rec 3’</t>
  </si>
  <si>
    <t>warmup: 15min @ HR_Z2
repeat 2:
  interval: 5km @ hmp
  recovery: 3min @ Z1
cooldown: 10min @ HR_Z2</t>
  </si>
  <si>
    <t>Lungo 18 km FC&lt;150 (ultimi 8 km @5:35)</t>
  </si>
  <si>
    <t>interval: 10km @ HR_Z3
interval: 8km @ hmp</t>
  </si>
  <si>
    <t>3×2 km @5:35 rec 2’</t>
  </si>
  <si>
    <t>warmup: 15min @ HR_Z2
repeat 3:
  interval: 2km @ hmp
  recovery: 2min @ Z1
cooldown: 10min @ HR_Z2</t>
  </si>
  <si>
    <t>Lungo 13 km FC&lt;150 (ultimi 3 km @5:35)</t>
  </si>
  <si>
    <t>interval: 10km @ HR_Z3
interval: 3km @ hmp</t>
  </si>
  <si>
    <t>Rifinitura 3×1 km @5:35 rec 2’</t>
  </si>
  <si>
    <t>warmup: 10min @ HR_Z2
repeat 3:
  interval: 1km @ hmp
  recovery: 2min @ Z1
cooldown: 5min @ Z1</t>
  </si>
  <si>
    <t>GARA – Mezza Maratona d’Italia (obiettivo sub 2h)</t>
  </si>
  <si>
    <t>warmup: lap-button @ Z1
interval: 21.1km @ hmp</t>
  </si>
  <si>
    <t>Key</t>
  </si>
  <si>
    <t>Metric</t>
  </si>
  <si>
    <t>Expression</t>
  </si>
  <si>
    <t>Notes</t>
  </si>
  <si>
    <t>Z1</t>
  </si>
  <si>
    <t>pace</t>
  </si>
  <si>
    <t>7:00-7:30</t>
  </si>
  <si>
    <t>Zona 1: Recupero / defaticamento</t>
  </si>
  <si>
    <t>Z2</t>
  </si>
  <si>
    <t>6:35-7:00</t>
  </si>
  <si>
    <t>Zona 2: Facile aerobico (riscaldamento)</t>
  </si>
  <si>
    <t>Z3</t>
  </si>
  <si>
    <t>5:30-5:40</t>
  </si>
  <si>
    <t>Zona 3: Passo mezza (obiettivo sub 2h)</t>
  </si>
  <si>
    <t>Z4</t>
  </si>
  <si>
    <t>5:05-5:15</t>
  </si>
  <si>
    <t>Zona 4: Soglia</t>
  </si>
  <si>
    <t>Z5</t>
  </si>
  <si>
    <t>4:50-5:00</t>
  </si>
  <si>
    <t>Zona 5: VO2max / ripetute 800-1000 m</t>
  </si>
  <si>
    <t>easy_range</t>
  </si>
  <si>
    <t>Corsa facile: lento DAVVERO</t>
  </si>
  <si>
    <t>long_range</t>
  </si>
  <si>
    <t>6:20-6:45</t>
  </si>
  <si>
    <t>Ritmo lungo</t>
  </si>
  <si>
    <t>hmp</t>
  </si>
  <si>
    <t>Passo mezza maratona (5:35/km ≈ 1:58 sui 21,1 km)</t>
  </si>
  <si>
    <t>threshold_range</t>
  </si>
  <si>
    <t>Ritmo soglia</t>
  </si>
  <si>
    <t>vo2</t>
  </si>
  <si>
    <t>Ritmo ripetute 800-1000 m</t>
  </si>
  <si>
    <t>fast</t>
  </si>
  <si>
    <t>4:40-4:50</t>
  </si>
  <si>
    <t>Ritmo ripetute 400 m</t>
  </si>
  <si>
    <t>recovery</t>
  </si>
  <si>
    <t>Ritmo di recupero lento</t>
  </si>
  <si>
    <t>pace_tolerance</t>
  </si>
  <si>
    <t>5</t>
  </si>
  <si>
    <t>Tolleranza ±sec per ritmi singoli</t>
  </si>
  <si>
    <t>HR_Z1</t>
  </si>
  <si>
    <t>hr</t>
  </si>
  <si>
    <t>110-130</t>
  </si>
  <si>
    <t>FC recupero (bpm)</t>
  </si>
  <si>
    <t>HR_Z2</t>
  </si>
  <si>
    <t>120-145</t>
  </si>
  <si>
    <t>FC corsa FACILE: tetto 145 bpm (da Strava, FC max 179). Rallenta se lo superi</t>
  </si>
  <si>
    <t>HR_Z3</t>
  </si>
  <si>
    <t>130-150</t>
  </si>
  <si>
    <t>FC lunghi (parte lenta): tetto 150 bpm</t>
  </si>
  <si>
    <t>HR_Z4</t>
  </si>
  <si>
    <t>150-165</t>
  </si>
  <si>
    <t>FC medio/passo mezza (riferimento: in gara 160-166)</t>
  </si>
  <si>
    <t>HR_Z5</t>
  </si>
  <si>
    <t>165-179</t>
  </si>
  <si>
    <t>FC ripetute (riferimento)</t>
  </si>
  <si>
    <t>HR_max</t>
  </si>
  <si>
    <t>179</t>
  </si>
  <si>
    <t>FC max registrata (Corri con l'Accademia 2026)</t>
  </si>
  <si>
    <t>hr_tolerance</t>
  </si>
  <si>
    <t>Tolleranza ±bpm per HR singoli</t>
  </si>
  <si>
    <t>Categoria</t>
  </si>
  <si>
    <t>Esempio</t>
  </si>
  <si>
    <t>Descrizione</t>
  </si>
  <si>
    <t>DURATE</t>
  </si>
  <si>
    <t>warmup: 10min @ Z2</t>
  </si>
  <si>
    <t>Durata in minuti (anche: 10m, 10')</t>
  </si>
  <si>
    <t>interval: 30sec @ Z5</t>
  </si>
  <si>
    <t>Durata in secondi (anche: 30s)</t>
  </si>
  <si>
    <t>warmup: lap-button @ Z2</t>
  </si>
  <si>
    <t>Premi lap per continuare</t>
  </si>
  <si>
    <t>DISTANZE</t>
  </si>
  <si>
    <t>interval: 1000m @ 5:00</t>
  </si>
  <si>
    <t>Distanza in metri</t>
  </si>
  <si>
    <t>interval: 5km @ Z3</t>
  </si>
  <si>
    <t>Distanza in chilometri</t>
  </si>
  <si>
    <t>interval: 400m @ Z5</t>
  </si>
  <si>
    <t>Distanze brevi per ripetute</t>
  </si>
  <si>
    <t>TARGET RITMO</t>
  </si>
  <si>
    <t>interval: 3km @ 5:00</t>
  </si>
  <si>
    <t>Ritmo fisso min:sec/km (usa tolerance)</t>
  </si>
  <si>
    <t>interval: 3km @ 5:00-5:30</t>
  </si>
  <si>
    <t>Range di ritmo esplicito</t>
  </si>
  <si>
    <t>interval: 3km @ Z3</t>
  </si>
  <si>
    <t>Zona ritmo da Parameters</t>
  </si>
  <si>
    <t>interval: 5km @ marathon</t>
  </si>
  <si>
    <t>Ritmo custom da Parameters</t>
  </si>
  <si>
    <t>warmup: 10min @ easy_range</t>
  </si>
  <si>
    <t>Range custom da Parameters</t>
  </si>
  <si>
    <t>TARGET HR</t>
  </si>
  <si>
    <t>interval: 10min @ HR_Z3</t>
  </si>
  <si>
    <t>Zona FC da Parameters (% di HR_max)</t>
  </si>
  <si>
    <t>recovery: 5min @ HR_Z1</t>
  </si>
  <si>
    <t>Recupero con controllo FC</t>
  </si>
  <si>
    <t>interval: 20min @ 150-165</t>
  </si>
  <si>
    <t>Range FC assoluto in bpm</t>
  </si>
  <si>
    <t>TIPI STEP</t>
  </si>
  <si>
    <t>Riscaldamento</t>
  </si>
  <si>
    <t>interval: 5min @ Z4</t>
  </si>
  <si>
    <t>Intervallo intenso</t>
  </si>
  <si>
    <t>recovery: 2min @ Z1</t>
  </si>
  <si>
    <t>Recupero attivo (corsa lenta)</t>
  </si>
  <si>
    <t>rest: 90sec</t>
  </si>
  <si>
    <t>Riposo completo (FERMO)</t>
  </si>
  <si>
    <t>cooldown: 5min @ Z1</t>
  </si>
  <si>
    <t>Defaticamento</t>
  </si>
  <si>
    <t>RIPETIZIONI</t>
  </si>
  <si>
    <t>repeat 4:
  interval: 1km @ Z4
  recovery: 2min @ Z1</t>
  </si>
  <si>
    <t>Ripeti 4 volte: 1km veloce + 2min recupero attivo</t>
  </si>
  <si>
    <t>repeat 6:
  interval: 400m @ Z5
  rest: 90sec</t>
  </si>
  <si>
    <t>Ripeti 6 volte: 400m + riposo FERMO</t>
  </si>
  <si>
    <t>repeat 10:
  interval: 400m @ Z5
  rest: 2min</t>
  </si>
  <si>
    <t>10×400m con riposo completo tra le ripetute</t>
  </si>
  <si>
    <t>repeat 8:
  interval: 100m @ Z5
  rest: 60sec</t>
  </si>
  <si>
    <t>Serie di sprint brevi con recupero completo</t>
  </si>
  <si>
    <t>RIPETIZIONI ANNIDATE</t>
  </si>
  <si>
    <t>repeat 2:
  repeat 6:
    interval: 1min @ 4:30
    recovery: 1min @ Z1
  rest: 3min</t>
  </si>
  <si>
    <t>2 serie da 6 ripetute di 1min + 3min riposo FERMO tra serie</t>
  </si>
  <si>
    <t>PIRAMIDALE</t>
  </si>
  <si>
    <t>interval: 400m @ Z5
rest: 90sec
interval: 800m @ Z4
rest: 2min
interval: 1200m @ Z4
rest: 3min</t>
  </si>
  <si>
    <t>Piramidale crescente con riposo completo tra step</t>
  </si>
  <si>
    <t>interval: 1km @ Z4
rest: 2min
interval: 2km @ Z3
rest: 3min
interval: 1km @ Z4</t>
  </si>
  <si>
    <t>Piramidale su-giù con riposi fissi</t>
  </si>
  <si>
    <t>WORKOUT COMPLETO</t>
  </si>
  <si>
    <t>warmup: 15min @ Z2
repeat 10:
  interval: 400m @ Z5
  rest: 2min
cooldown: 10min @ Z1</t>
  </si>
  <si>
    <t>Esempio: 10×400m con riposo completo</t>
  </si>
  <si>
    <t>warmup: 10min @ easy_range
repeat 8:
  interval: 100m @ Z5
  rest: 60sec
cooldown: 5min @ Z1</t>
  </si>
  <si>
    <t>Esempio: sprint brevi con riposo</t>
  </si>
  <si>
    <t>warmup: lap-button @ HR_Z2
repeat 4:
  interval: 5min @ HR_Z4
  recovery: 2min @ HR_Z1
cooldown: lap-button @ Z1</t>
  </si>
  <si>
    <t>Esempio: ripetute con controllo FC</t>
  </si>
  <si>
    <t>interval: 10min @ Z1
interval: 20min @ Z2
interval: 10min @ Z3
interval: 5min @ Z4</t>
  </si>
  <si>
    <t>Esempio: progressivo senza ripetizioni</t>
  </si>
  <si>
    <t>NOTE</t>
  </si>
  <si>
    <t>INDENTAZIONE: usare 2 spazi per ogni livello di repeat</t>
  </si>
  <si>
    <t>Le ripetizioni annidate richiedono corretta indentazione</t>
  </si>
  <si>
    <t>TOLERANCE: pace_tolerance e hr_tolerance si applicano ai valori singoli</t>
  </si>
  <si>
    <t>I range espliciti ignorano le tolerance</t>
  </si>
  <si>
    <t>HR_max: personalizza in Parameters per calcolare le zone FC automaticamente</t>
  </si>
  <si>
    <t>Le zone HR_Z1-HR_Z5 sono percentuali di HR_max</t>
  </si>
  <si>
    <t>Chiave (nuoto1-nuoto2-lungo)</t>
  </si>
  <si>
    <t>Nota</t>
  </si>
  <si>
    <t>N</t>
  </si>
  <si>
    <t>Giorno</t>
  </si>
  <si>
    <t>0-1-5</t>
  </si>
  <si>
    <t>due corse in giorni consecutivi</t>
  </si>
  <si>
    <t>0-1-6</t>
  </si>
  <si>
    <t>0-2-5</t>
  </si>
  <si>
    <t>0-2-6</t>
  </si>
  <si>
    <t>0-3-5</t>
  </si>
  <si>
    <t>0-3-6</t>
  </si>
  <si>
    <t>0-4-5</t>
  </si>
  <si>
    <t>0-4-6</t>
  </si>
  <si>
    <t>0-5-5</t>
  </si>
  <si>
    <t>0-5-6</t>
  </si>
  <si>
    <t>0-6-5</t>
  </si>
  <si>
    <t>0-6-6</t>
  </si>
  <si>
    <t>1-2-5</t>
  </si>
  <si>
    <t>1-2-6</t>
  </si>
  <si>
    <t>1-3-5</t>
  </si>
  <si>
    <t>1-3-6</t>
  </si>
  <si>
    <t>1-4-5</t>
  </si>
  <si>
    <t>1-4-6</t>
  </si>
  <si>
    <t>1-5-5</t>
  </si>
  <si>
    <t>1-5-6</t>
  </si>
  <si>
    <t>1-6-5</t>
  </si>
  <si>
    <t>1-6-6</t>
  </si>
  <si>
    <t>2-3-5</t>
  </si>
  <si>
    <t>2-3-6</t>
  </si>
  <si>
    <t>2-4-5</t>
  </si>
  <si>
    <t>2-4-6</t>
  </si>
  <si>
    <t>2-5-5</t>
  </si>
  <si>
    <t>2-5-6</t>
  </si>
  <si>
    <t>2-6-5</t>
  </si>
  <si>
    <t>2-6-6</t>
  </si>
  <si>
    <t>3-4-5</t>
  </si>
  <si>
    <t>3-4-6</t>
  </si>
  <si>
    <t>3-5-5</t>
  </si>
  <si>
    <t>3-5-6</t>
  </si>
  <si>
    <t>3-6-5</t>
  </si>
  <si>
    <t>3-6-6</t>
  </si>
  <si>
    <t>4-5-5</t>
  </si>
  <si>
    <t>4-5-6</t>
  </si>
  <si>
    <t>4-6-5</t>
  </si>
  <si>
    <t>4-6-6</t>
  </si>
  <si>
    <t>5-6-5</t>
  </si>
  <si>
    <t>5-6-6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</si>
</sst>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1"/>
      <color rgb="FF595959"/>
      <name val="Arial"/>
      <charset val="1"/>
    </font>
    <font>
      <b/>
      <sz val="11"/>
      <name val="Arial"/>
      <charset val="1"/>
    </font>
    <font>
      <sz val="11"/>
      <color rgb="FF0000FF"/>
      <name val="Arial"/>
      <charset val="1"/>
    </font>
    <font>
      <sz val="11"/>
      <name val="Arial"/>
      <charset val="1"/>
    </font>
    <font>
      <b/>
      <sz val="11"/>
      <color rgb="FF808080"/>
      <name val="Arial"/>
      <charset val="1"/>
    </font>
    <font>
      <sz val="11"/>
      <color rgb="FF808080"/>
      <name val="Arial"/>
      <charset val="1"/>
    </font>
    <font>
      <b/>
      <sz val="12"/>
      <name val="Arial"/>
      <charset val="1"/>
    </font>
    <font>
      <b/>
      <sz val="11"/>
      <color rgb="FFC00000"/>
      <name val="Arial"/>
      <charset val="1"/>
    </font>
    <font>
      <i/>
      <sz val="11"/>
      <color rgb="FF80808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DEDED"/>
        <bgColor rgb="FFFFFFC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4" fontId="5" fillId="0" borderId="0" xfId="0" applyNumberFormat="1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9" fillId="0" borderId="0" xfId="0" applyFont="1"/>
    <xf numFmtId="0" fontId="3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10" fillId="0" borderId="1" xfId="0" applyFont="1" applyBorder="1" applyAlignment="1">
      <alignment horizontal="center" wrapText="1"/>
    </xf>
    <xf numFmtId="14" fontId="0" fillId="0" borderId="0" xfId="0" applyNumberFormat="1"/>
    <xf numFmtId="0" fontId="0" fillId="0" borderId="0" xfId="0" applyAlignment="1">
      <alignment wrapText="1"/>
    </xf>
    <xf numFmtId="49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"/>
  <sheetViews>
    <sheetView zoomScaleNormal="100" workbookViewId="0"/>
  </sheetViews>
  <sheetFormatPr defaultColWidth="8.6640625" defaultRowHeight="14.4" x14ac:dyDescent="0.3"/>
  <cols>
    <col min="1" max="1" width="30" customWidth="1"/>
    <col min="2" max="8" width="16" customWidth="1"/>
  </cols>
  <sheetData>
    <row r="1" spans="1:7" ht="17.399999999999999" x14ac:dyDescent="0.3">
      <c r="A1" s="1" t="s">
        <v>0</v>
      </c>
    </row>
    <row r="2" spans="1:7" x14ac:dyDescent="0.3">
      <c r="A2" s="2" t="s">
        <v>1</v>
      </c>
    </row>
    <row r="4" spans="1:7" x14ac:dyDescent="0.3">
      <c r="A4" s="3" t="s">
        <v>2</v>
      </c>
      <c r="B4" s="4" t="s">
        <v>3</v>
      </c>
    </row>
    <row r="5" spans="1:7" x14ac:dyDescent="0.3">
      <c r="A5" s="3" t="s">
        <v>4</v>
      </c>
      <c r="B5" s="4" t="s">
        <v>5</v>
      </c>
    </row>
    <row r="6" spans="1:7" x14ac:dyDescent="0.3">
      <c r="A6" s="3" t="s">
        <v>6</v>
      </c>
      <c r="B6" s="4" t="s">
        <v>7</v>
      </c>
    </row>
    <row r="7" spans="1:7" x14ac:dyDescent="0.3">
      <c r="A7" s="3" t="s">
        <v>8</v>
      </c>
      <c r="B7" s="5">
        <v>46300</v>
      </c>
      <c r="C7" s="2" t="s">
        <v>9</v>
      </c>
    </row>
    <row r="8" spans="1:7" x14ac:dyDescent="0.3">
      <c r="A8" s="3" t="s">
        <v>10</v>
      </c>
      <c r="B8" s="5">
        <v>46460</v>
      </c>
    </row>
    <row r="10" spans="1:7" x14ac:dyDescent="0.3">
      <c r="A10" s="6" t="s">
        <v>11</v>
      </c>
    </row>
    <row r="11" spans="1:7" x14ac:dyDescent="0.3">
      <c r="C11" s="7" t="s">
        <v>12</v>
      </c>
      <c r="D11" s="7">
        <f>MATCH(B4,Regole!$H$2:$H$8,0)-1</f>
        <v>1</v>
      </c>
    </row>
    <row r="12" spans="1:7" x14ac:dyDescent="0.3">
      <c r="C12" s="7" t="s">
        <v>13</v>
      </c>
      <c r="D12" s="7">
        <f>MATCH(B5,Regole!$H$2:$H$8,0)-1</f>
        <v>3</v>
      </c>
    </row>
    <row r="13" spans="1:7" x14ac:dyDescent="0.3">
      <c r="C13" s="7" t="s">
        <v>14</v>
      </c>
      <c r="D13" s="7">
        <f>MATCH(B6,Regole!$H$2:$H$8,0)-1</f>
        <v>5</v>
      </c>
    </row>
    <row r="14" spans="1:7" x14ac:dyDescent="0.3">
      <c r="C14" s="7" t="s">
        <v>15</v>
      </c>
      <c r="D14" s="7" t="str">
        <f>MIN(D11,D12)&amp;"-"&amp;MAX(D11,D12)&amp;"-"&amp;D13</f>
        <v>1-3-5</v>
      </c>
    </row>
    <row r="15" spans="1:7" x14ac:dyDescent="0.3">
      <c r="C15" s="7" t="s">
        <v>16</v>
      </c>
      <c r="D15" s="7" t="str">
        <f>MIN(D11,D12)&amp;"-"&amp;MAX(D11,D12)&amp;"-6"</f>
        <v>1-3-6</v>
      </c>
    </row>
    <row r="16" spans="1:7" x14ac:dyDescent="0.3">
      <c r="A16" s="7"/>
      <c r="E16" s="7" t="s">
        <v>17</v>
      </c>
      <c r="F16" s="7" t="s">
        <v>18</v>
      </c>
      <c r="G16" s="7" t="s">
        <v>19</v>
      </c>
    </row>
    <row r="17" spans="1:8" x14ac:dyDescent="0.3">
      <c r="A17" s="7" t="s">
        <v>20</v>
      </c>
      <c r="E17" s="7">
        <f>IFERROR(INDEX(Regole!$A$2:$D$43,MATCH($D$14,Regole!$A$2:$A$43,0),2),0)</f>
        <v>0</v>
      </c>
      <c r="F17" s="7">
        <f>IFERROR(INDEX(Regole!$A$2:$D$43,MATCH($D$14,Regole!$A$2:$A$43,0),3),2)</f>
        <v>2</v>
      </c>
      <c r="G17" s="7">
        <f>IFERROR(INDEX(Regole!$A$2:$D$43,MATCH($D$14,Regole!$A$2:$A$43,0),4),5)</f>
        <v>5</v>
      </c>
    </row>
    <row r="18" spans="1:8" x14ac:dyDescent="0.3">
      <c r="A18" s="7" t="s">
        <v>21</v>
      </c>
      <c r="E18" s="7">
        <f>IFERROR(INDEX(Regole!$A$2:$D$43,MATCH($D$15,Regole!$A$2:$A$43,0),2),0)</f>
        <v>4</v>
      </c>
      <c r="F18" s="7">
        <f>IFERROR(INDEX(Regole!$A$2:$D$43,MATCH($D$15,Regole!$A$2:$A$43,0),3),2)</f>
        <v>2</v>
      </c>
      <c r="G18" s="7">
        <f>IFERROR(INDEX(Regole!$A$2:$D$43,MATCH($D$15,Regole!$A$2:$A$43,0),4),6)</f>
        <v>6</v>
      </c>
    </row>
    <row r="20" spans="1:8" ht="15.6" x14ac:dyDescent="0.3">
      <c r="A20" s="8" t="s">
        <v>22</v>
      </c>
    </row>
    <row r="21" spans="1:8" x14ac:dyDescent="0.3">
      <c r="A21" s="3" t="s">
        <v>23</v>
      </c>
      <c r="B21" s="9" t="str">
        <f>INDEX(Regole!$H$2:$H$8,E17+1)</f>
        <v>Lunedì</v>
      </c>
    </row>
    <row r="22" spans="1:8" x14ac:dyDescent="0.3">
      <c r="A22" s="3" t="s">
        <v>24</v>
      </c>
      <c r="B22" s="9" t="str">
        <f>INDEX(Regole!$H$2:$H$8,F17+1)</f>
        <v>Mercoledì</v>
      </c>
    </row>
    <row r="23" spans="1:8" x14ac:dyDescent="0.3">
      <c r="A23" s="3" t="s">
        <v>19</v>
      </c>
      <c r="B23" s="9" t="str">
        <f>INDEX(Regole!$H$2:$H$8,G17+1)</f>
        <v>Sabato</v>
      </c>
    </row>
    <row r="24" spans="1:8" x14ac:dyDescent="0.3">
      <c r="A24" s="3" t="s">
        <v>25</v>
      </c>
      <c r="B24" s="10" t="str">
        <f>IF(D11=D12,"ATTENZIONE: i due giorni di nuoto devono essere diversi",IF(OR(D11=D13,D12=D13),"Nota: il lungo cade in un giorno di nuoto (nuota leggero o dopo la corsa)",IF(IFERROR(INDEX(Regole!$E$2:$E$43,MATCH(D14,Regole!$A$2:$A$43,0)),"")&lt;&gt;"","Compromesso inevitabile: "&amp;INDEX(Regole!$E$2:$E$43,MATCH(D14,Regole!$A$2:$A$43,0)),"OK: corse ben distanziate")))</f>
        <v>OK: corse ben distanziate</v>
      </c>
    </row>
    <row r="26" spans="1:8" ht="15.6" x14ac:dyDescent="0.3">
      <c r="A26" s="8" t="s">
        <v>26</v>
      </c>
    </row>
    <row r="27" spans="1:8" x14ac:dyDescent="0.3">
      <c r="B27" s="11" t="s">
        <v>27</v>
      </c>
      <c r="C27" s="11" t="s">
        <v>3</v>
      </c>
      <c r="D27" s="11" t="s">
        <v>28</v>
      </c>
      <c r="E27" s="11" t="s">
        <v>5</v>
      </c>
      <c r="F27" s="11" t="s">
        <v>29</v>
      </c>
      <c r="G27" s="11" t="s">
        <v>7</v>
      </c>
      <c r="H27" s="11" t="s">
        <v>30</v>
      </c>
    </row>
    <row r="28" spans="1:8" x14ac:dyDescent="0.3">
      <c r="A28" s="3" t="s">
        <v>31</v>
      </c>
      <c r="B28" s="12" t="str">
        <f>IF(OR(0=$D$11,0=$D$12),"Nuoto","")&amp;IF(AND(OR(0=$D$11,0=$D$12),OR(0=$E$17,0=$F$17,0=$G$17))," + ","")&amp;IF(0=$E$17,"Facile",IF(0=$F$17,"Qualità",IF(0=$G$17,"Lungo","")))</f>
        <v>Facile</v>
      </c>
      <c r="C28" s="12" t="str">
        <f>IF(OR(1=$D$11,1=$D$12),"Nuoto","")&amp;IF(AND(OR(1=$D$11,1=$D$12),OR(1=$E$17,1=$F$17,1=$G$17))," + ","")&amp;IF(1=$E$17,"Facile",IF(1=$F$17,"Qualità",IF(1=$G$17,"Lungo","")))</f>
        <v>Nuoto</v>
      </c>
      <c r="D28" s="12" t="str">
        <f>IF(OR(2=$D$11,2=$D$12),"Nuoto","")&amp;IF(AND(OR(2=$D$11,2=$D$12),OR(2=$E$17,2=$F$17,2=$G$17))," + ","")&amp;IF(2=$E$17,"Facile",IF(2=$F$17,"Qualità",IF(2=$G$17,"Lungo","")))</f>
        <v>Qualità</v>
      </c>
      <c r="E28" s="12" t="str">
        <f>IF(OR(3=$D$11,3=$D$12),"Nuoto","")&amp;IF(AND(OR(3=$D$11,3=$D$12),OR(3=$E$17,3=$F$17,3=$G$17))," + ","")&amp;IF(3=$E$17,"Facile",IF(3=$F$17,"Qualità",IF(3=$G$17,"Lungo","")))</f>
        <v>Nuoto</v>
      </c>
      <c r="F28" s="12" t="str">
        <f>IF(OR(4=$D$11,4=$D$12),"Nuoto","")&amp;IF(AND(OR(4=$D$11,4=$D$12),OR(4=$E$17,4=$F$17,4=$G$17))," + ","")&amp;IF(4=$E$17,"Facile",IF(4=$F$17,"Qualità",IF(4=$G$17,"Lungo","")))</f>
        <v/>
      </c>
      <c r="G28" s="12" t="str">
        <f>IF(OR(5=$D$11,5=$D$12),"Nuoto","")&amp;IF(AND(OR(5=$D$11,5=$D$12),OR(5=$E$17,5=$F$17,5=$G$17))," + ","")&amp;IF(5=$E$17,"Facile",IF(5=$F$17,"Qualità",IF(5=$G$17,"Lungo","")))</f>
        <v>Lungo</v>
      </c>
      <c r="H28" s="12" t="str">
        <f>IF(OR(6=$D$11,6=$D$12),"Nuoto","")&amp;IF(AND(OR(6=$D$11,6=$D$12),OR(6=$E$17,6=$F$17,6=$G$17))," + ","")&amp;IF(6=$E$17,"Facile",IF(6=$F$17,"Qualità",IF(6=$G$17,"Lungo","")))</f>
        <v/>
      </c>
    </row>
    <row r="29" spans="1:8" x14ac:dyDescent="0.3">
      <c r="B29" s="13" t="str">
        <f t="shared" ref="B29:H29" si="0">IF(B28="","riposo","")</f>
        <v/>
      </c>
      <c r="C29" s="13" t="str">
        <f t="shared" si="0"/>
        <v/>
      </c>
      <c r="D29" s="13" t="str">
        <f t="shared" si="0"/>
        <v/>
      </c>
      <c r="E29" s="13" t="str">
        <f t="shared" si="0"/>
        <v/>
      </c>
      <c r="F29" s="13" t="str">
        <f t="shared" si="0"/>
        <v>riposo</v>
      </c>
      <c r="G29" s="13" t="str">
        <f t="shared" si="0"/>
        <v/>
      </c>
      <c r="H29" s="13" t="str">
        <f t="shared" si="0"/>
        <v>riposo</v>
      </c>
    </row>
    <row r="31" spans="1:8" ht="15.6" x14ac:dyDescent="0.3">
      <c r="A31" s="8" t="s">
        <v>32</v>
      </c>
    </row>
    <row r="32" spans="1:8" x14ac:dyDescent="0.3">
      <c r="A32" s="9" t="s">
        <v>33</v>
      </c>
    </row>
    <row r="33" spans="1:1" x14ac:dyDescent="0.3">
      <c r="A33" s="9" t="s">
        <v>34</v>
      </c>
    </row>
    <row r="34" spans="1:1" x14ac:dyDescent="0.3">
      <c r="A34" s="9" t="s">
        <v>35</v>
      </c>
    </row>
    <row r="35" spans="1:1" x14ac:dyDescent="0.3">
      <c r="A35" s="9" t="s">
        <v>36</v>
      </c>
    </row>
  </sheetData>
  <dataValidations count="2">
    <dataValidation type="list" sqref="B4:B5" xr:uid="{00000000-0002-0000-0000-000000000000}">
      <formula1>"Lunedì,Martedì,Mercoledì,Giovedì,Venerdì,Sabato,Domenica"</formula1>
      <formula2>0</formula2>
    </dataValidation>
    <dataValidation type="list" sqref="B6" xr:uid="{00000000-0002-0000-0000-000001000000}">
      <formula1>"Sabato,Domenica"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headerFooter>
    <oddHeader>&amp;L&amp;"Aptos"&amp;10&amp;K000000 General Business&amp;1#_x000D_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0"/>
  <sheetViews>
    <sheetView tabSelected="1" topLeftCell="A36" zoomScaleNormal="100" workbookViewId="0"/>
  </sheetViews>
  <sheetFormatPr defaultColWidth="8.6640625" defaultRowHeight="14.4" x14ac:dyDescent="0.3"/>
  <cols>
    <col min="2" max="2" width="10.5546875" bestFit="1" customWidth="1"/>
    <col min="5" max="5" width="33" customWidth="1"/>
    <col min="6" max="6" width="82.88671875" customWidth="1"/>
  </cols>
  <sheetData>
    <row r="1" spans="1:9" x14ac:dyDescent="0.3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</row>
    <row r="2" spans="1:9" ht="14.25" customHeight="1" x14ac:dyDescent="0.3">
      <c r="A2">
        <v>1</v>
      </c>
      <c r="B2" s="14">
        <f>Impostazioni!$B$7+(A2-1)*7+IF(A2=23,INDEX(Impostazioni!$E$18:$G$18,C2),INDEX(Impostazioni!$E$17:$G$17,C2))</f>
        <v>46300</v>
      </c>
      <c r="C2">
        <v>1</v>
      </c>
      <c r="D2" t="s">
        <v>46</v>
      </c>
      <c r="E2" s="15" t="s">
        <v>47</v>
      </c>
      <c r="F2" s="15" t="s">
        <v>48</v>
      </c>
    </row>
    <row r="3" spans="1:9" ht="14.25" customHeight="1" x14ac:dyDescent="0.3">
      <c r="A3">
        <v>1</v>
      </c>
      <c r="B3" s="14">
        <f>Impostazioni!$B$7+(A3-1)*7+IF(A3=23,INDEX(Impostazioni!$E$18:$G$18,C3),INDEX(Impostazioni!$E$17:$G$17,C3))</f>
        <v>46302</v>
      </c>
      <c r="C3">
        <v>2</v>
      </c>
      <c r="D3" t="s">
        <v>46</v>
      </c>
      <c r="E3" s="15" t="s">
        <v>47</v>
      </c>
      <c r="F3" s="15" t="s">
        <v>48</v>
      </c>
    </row>
    <row r="4" spans="1:9" ht="14.25" customHeight="1" x14ac:dyDescent="0.3">
      <c r="A4">
        <v>1</v>
      </c>
      <c r="B4" s="14">
        <f>Impostazioni!$B$7+(A4-1)*7+IF(A4=23,INDEX(Impostazioni!$E$18:$G$18,C4),INDEX(Impostazioni!$E$17:$G$17,C4))</f>
        <v>46305</v>
      </c>
      <c r="C4">
        <v>3</v>
      </c>
      <c r="D4" t="s">
        <v>46</v>
      </c>
      <c r="E4" s="15" t="s">
        <v>49</v>
      </c>
      <c r="F4" s="15" t="s">
        <v>50</v>
      </c>
    </row>
    <row r="5" spans="1:9" ht="57" customHeight="1" x14ac:dyDescent="0.3">
      <c r="A5">
        <v>2</v>
      </c>
      <c r="B5" s="14">
        <f>Impostazioni!$B$7+(A5-1)*7+IF(A5=23,INDEX(Impostazioni!$E$18:$G$18,C5),INDEX(Impostazioni!$E$17:$G$17,C5))</f>
        <v>46307</v>
      </c>
      <c r="C5">
        <v>1</v>
      </c>
      <c r="D5" t="s">
        <v>46</v>
      </c>
      <c r="E5" s="15" t="s">
        <v>51</v>
      </c>
      <c r="F5" s="15" t="s">
        <v>52</v>
      </c>
    </row>
    <row r="6" spans="1:9" ht="14.25" customHeight="1" x14ac:dyDescent="0.3">
      <c r="A6">
        <v>2</v>
      </c>
      <c r="B6" s="14">
        <f>Impostazioni!$B$7+(A6-1)*7+IF(A6=23,INDEX(Impostazioni!$E$18:$G$18,C6),INDEX(Impostazioni!$E$17:$G$17,C6))</f>
        <v>46309</v>
      </c>
      <c r="C6">
        <v>2</v>
      </c>
      <c r="D6" t="s">
        <v>46</v>
      </c>
      <c r="E6" s="15" t="s">
        <v>53</v>
      </c>
      <c r="F6" s="15" t="s">
        <v>54</v>
      </c>
    </row>
    <row r="7" spans="1:9" ht="14.25" customHeight="1" x14ac:dyDescent="0.3">
      <c r="A7">
        <v>2</v>
      </c>
      <c r="B7" s="14">
        <f>Impostazioni!$B$7+(A7-1)*7+IF(A7=23,INDEX(Impostazioni!$E$18:$G$18,C7),INDEX(Impostazioni!$E$17:$G$17,C7))</f>
        <v>46312</v>
      </c>
      <c r="C7">
        <v>3</v>
      </c>
      <c r="D7" t="s">
        <v>46</v>
      </c>
      <c r="E7" s="15" t="s">
        <v>55</v>
      </c>
      <c r="F7" s="15" t="s">
        <v>56</v>
      </c>
    </row>
    <row r="8" spans="1:9" ht="57" customHeight="1" x14ac:dyDescent="0.3">
      <c r="A8">
        <v>3</v>
      </c>
      <c r="B8" s="14">
        <f>Impostazioni!$B$7+(A8-1)*7+IF(A8=23,INDEX(Impostazioni!$E$18:$G$18,C8),INDEX(Impostazioni!$E$17:$G$17,C8))</f>
        <v>46314</v>
      </c>
      <c r="C8">
        <v>1</v>
      </c>
      <c r="D8" t="s">
        <v>46</v>
      </c>
      <c r="E8" s="15" t="s">
        <v>57</v>
      </c>
      <c r="F8" s="15" t="s">
        <v>58</v>
      </c>
    </row>
    <row r="9" spans="1:9" ht="72" customHeight="1" x14ac:dyDescent="0.3">
      <c r="A9">
        <v>3</v>
      </c>
      <c r="B9" s="14">
        <f>Impostazioni!$B$7+(A9-1)*7+IF(A9=23,INDEX(Impostazioni!$E$18:$G$18,C9),INDEX(Impostazioni!$E$17:$G$17,C9))</f>
        <v>46316</v>
      </c>
      <c r="C9">
        <v>2</v>
      </c>
      <c r="D9" t="s">
        <v>46</v>
      </c>
      <c r="E9" s="15" t="s">
        <v>59</v>
      </c>
      <c r="F9" s="15" t="s">
        <v>60</v>
      </c>
    </row>
    <row r="10" spans="1:9" ht="14.25" customHeight="1" x14ac:dyDescent="0.3">
      <c r="A10">
        <v>3</v>
      </c>
      <c r="B10" s="14">
        <f>Impostazioni!$B$7+(A10-1)*7+IF(A10=23,INDEX(Impostazioni!$E$18:$G$18,C10),INDEX(Impostazioni!$E$17:$G$17,C10))</f>
        <v>46319</v>
      </c>
      <c r="C10">
        <v>3</v>
      </c>
      <c r="D10" t="s">
        <v>46</v>
      </c>
      <c r="E10" s="15" t="s">
        <v>61</v>
      </c>
      <c r="F10" s="15" t="s">
        <v>62</v>
      </c>
    </row>
    <row r="11" spans="1:9" ht="14.25" customHeight="1" x14ac:dyDescent="0.3">
      <c r="A11">
        <v>4</v>
      </c>
      <c r="B11" s="14">
        <f>Impostazioni!$B$7+(A11-1)*7+IF(A11=23,INDEX(Impostazioni!$E$18:$G$18,C11),INDEX(Impostazioni!$E$17:$G$17,C11))</f>
        <v>46321</v>
      </c>
      <c r="C11">
        <v>1</v>
      </c>
      <c r="D11" t="s">
        <v>46</v>
      </c>
      <c r="E11" s="15" t="s">
        <v>47</v>
      </c>
      <c r="F11" s="15" t="s">
        <v>48</v>
      </c>
    </row>
    <row r="12" spans="1:9" ht="57" customHeight="1" x14ac:dyDescent="0.3">
      <c r="A12">
        <v>4</v>
      </c>
      <c r="B12" s="14">
        <f>Impostazioni!$B$7+(A12-1)*7+IF(A12=23,INDEX(Impostazioni!$E$18:$G$18,C12),INDEX(Impostazioni!$E$17:$G$17,C12))</f>
        <v>46323</v>
      </c>
      <c r="C12">
        <v>2</v>
      </c>
      <c r="D12" t="s">
        <v>46</v>
      </c>
      <c r="E12" s="15" t="s">
        <v>63</v>
      </c>
      <c r="F12" s="15" t="s">
        <v>64</v>
      </c>
    </row>
    <row r="13" spans="1:9" ht="14.25" customHeight="1" x14ac:dyDescent="0.3">
      <c r="A13">
        <v>4</v>
      </c>
      <c r="B13" s="14">
        <f>Impostazioni!$B$7+(A13-1)*7+IF(A13=23,INDEX(Impostazioni!$E$18:$G$18,C13),INDEX(Impostazioni!$E$17:$G$17,C13))</f>
        <v>46326</v>
      </c>
      <c r="C13">
        <v>3</v>
      </c>
      <c r="D13" t="s">
        <v>46</v>
      </c>
      <c r="E13" s="15" t="s">
        <v>55</v>
      </c>
      <c r="F13" s="15" t="s">
        <v>56</v>
      </c>
    </row>
    <row r="14" spans="1:9" ht="14.25" customHeight="1" x14ac:dyDescent="0.3">
      <c r="A14">
        <v>5</v>
      </c>
      <c r="B14" s="14">
        <f>Impostazioni!$B$7+(A14-1)*7+IF(A14=23,INDEX(Impostazioni!$E$18:$G$18,C14),INDEX(Impostazioni!$E$17:$G$17,C14))</f>
        <v>46328</v>
      </c>
      <c r="C14">
        <v>1</v>
      </c>
      <c r="D14" t="s">
        <v>46</v>
      </c>
      <c r="E14" s="15" t="s">
        <v>53</v>
      </c>
      <c r="F14" s="15" t="s">
        <v>54</v>
      </c>
    </row>
    <row r="15" spans="1:9" ht="72" customHeight="1" x14ac:dyDescent="0.3">
      <c r="A15">
        <v>5</v>
      </c>
      <c r="B15" s="14">
        <f>Impostazioni!$B$7+(A15-1)*7+IF(A15=23,INDEX(Impostazioni!$E$18:$G$18,C15),INDEX(Impostazioni!$E$17:$G$17,C15))</f>
        <v>46330</v>
      </c>
      <c r="C15">
        <v>2</v>
      </c>
      <c r="D15" t="s">
        <v>46</v>
      </c>
      <c r="E15" s="15" t="s">
        <v>65</v>
      </c>
      <c r="F15" s="15" t="s">
        <v>66</v>
      </c>
    </row>
    <row r="16" spans="1:9" ht="14.25" customHeight="1" x14ac:dyDescent="0.3">
      <c r="A16">
        <v>5</v>
      </c>
      <c r="B16" s="14">
        <f>Impostazioni!$B$7+(A16-1)*7+IF(A16=23,INDEX(Impostazioni!$E$18:$G$18,C16),INDEX(Impostazioni!$E$17:$G$17,C16))</f>
        <v>46333</v>
      </c>
      <c r="C16">
        <v>3</v>
      </c>
      <c r="D16" t="s">
        <v>46</v>
      </c>
      <c r="E16" s="15" t="s">
        <v>67</v>
      </c>
      <c r="F16" s="15" t="s">
        <v>68</v>
      </c>
    </row>
    <row r="17" spans="1:6" ht="14.25" customHeight="1" x14ac:dyDescent="0.3">
      <c r="A17">
        <v>6</v>
      </c>
      <c r="B17" s="14">
        <f>Impostazioni!$B$7+(A17-1)*7+IF(A17=23,INDEX(Impostazioni!$E$18:$G$18,C17),INDEX(Impostazioni!$E$17:$G$17,C17))</f>
        <v>46335</v>
      </c>
      <c r="C17">
        <v>1</v>
      </c>
      <c r="D17" t="s">
        <v>46</v>
      </c>
      <c r="E17" s="15" t="s">
        <v>53</v>
      </c>
      <c r="F17" s="15" t="s">
        <v>54</v>
      </c>
    </row>
    <row r="18" spans="1:6" ht="72" customHeight="1" x14ac:dyDescent="0.3">
      <c r="A18">
        <v>6</v>
      </c>
      <c r="B18" s="14">
        <f>Impostazioni!$B$7+(A18-1)*7+IF(A18=23,INDEX(Impostazioni!$E$18:$G$18,C18),INDEX(Impostazioni!$E$17:$G$17,C18))</f>
        <v>46337</v>
      </c>
      <c r="C18">
        <v>2</v>
      </c>
      <c r="D18" t="s">
        <v>46</v>
      </c>
      <c r="E18" s="15" t="s">
        <v>69</v>
      </c>
      <c r="F18" s="15" t="s">
        <v>70</v>
      </c>
    </row>
    <row r="19" spans="1:6" ht="14.25" customHeight="1" x14ac:dyDescent="0.3">
      <c r="A19">
        <v>6</v>
      </c>
      <c r="B19" s="14">
        <f>Impostazioni!$B$7+(A19-1)*7+IF(A19=23,INDEX(Impostazioni!$E$18:$G$18,C19),INDEX(Impostazioni!$E$17:$G$17,C19))</f>
        <v>46340</v>
      </c>
      <c r="C19">
        <v>3</v>
      </c>
      <c r="D19" t="s">
        <v>46</v>
      </c>
      <c r="E19" s="15" t="s">
        <v>71</v>
      </c>
      <c r="F19" s="15" t="s">
        <v>72</v>
      </c>
    </row>
    <row r="20" spans="1:6" ht="57" customHeight="1" x14ac:dyDescent="0.3">
      <c r="A20">
        <v>7</v>
      </c>
      <c r="B20" s="14">
        <f>Impostazioni!$B$7+(A20-1)*7+IF(A20=23,INDEX(Impostazioni!$E$18:$G$18,C20),INDEX(Impostazioni!$E$17:$G$17,C20))</f>
        <v>46342</v>
      </c>
      <c r="C20">
        <v>1</v>
      </c>
      <c r="D20" t="s">
        <v>46</v>
      </c>
      <c r="E20" s="15" t="s">
        <v>73</v>
      </c>
      <c r="F20" s="15" t="s">
        <v>74</v>
      </c>
    </row>
    <row r="21" spans="1:6" ht="72" customHeight="1" x14ac:dyDescent="0.3">
      <c r="A21">
        <v>7</v>
      </c>
      <c r="B21" s="14">
        <f>Impostazioni!$B$7+(A21-1)*7+IF(A21=23,INDEX(Impostazioni!$E$18:$G$18,C21),INDEX(Impostazioni!$E$17:$G$17,C21))</f>
        <v>46344</v>
      </c>
      <c r="C21">
        <v>2</v>
      </c>
      <c r="D21" t="s">
        <v>46</v>
      </c>
      <c r="E21" s="15" t="s">
        <v>75</v>
      </c>
      <c r="F21" s="15" t="s">
        <v>76</v>
      </c>
    </row>
    <row r="22" spans="1:6" ht="14.25" customHeight="1" x14ac:dyDescent="0.3">
      <c r="A22">
        <v>7</v>
      </c>
      <c r="B22" s="14">
        <f>Impostazioni!$B$7+(A22-1)*7+IF(A22=23,INDEX(Impostazioni!$E$18:$G$18,C22),INDEX(Impostazioni!$E$17:$G$17,C22))</f>
        <v>46347</v>
      </c>
      <c r="C22">
        <v>3</v>
      </c>
      <c r="D22" t="s">
        <v>46</v>
      </c>
      <c r="E22" s="15" t="s">
        <v>77</v>
      </c>
      <c r="F22" s="15" t="s">
        <v>78</v>
      </c>
    </row>
    <row r="23" spans="1:6" ht="14.25" customHeight="1" x14ac:dyDescent="0.3">
      <c r="A23">
        <v>8</v>
      </c>
      <c r="B23" s="14">
        <f>Impostazioni!$B$7+(A23-1)*7+IF(A23=23,INDEX(Impostazioni!$E$18:$G$18,C23),INDEX(Impostazioni!$E$17:$G$17,C23))</f>
        <v>46349</v>
      </c>
      <c r="C23">
        <v>1</v>
      </c>
      <c r="D23" t="s">
        <v>46</v>
      </c>
      <c r="E23" s="15" t="s">
        <v>47</v>
      </c>
      <c r="F23" s="15" t="s">
        <v>48</v>
      </c>
    </row>
    <row r="24" spans="1:6" ht="72" customHeight="1" x14ac:dyDescent="0.3">
      <c r="A24">
        <v>8</v>
      </c>
      <c r="B24" s="14">
        <f>Impostazioni!$B$7+(A24-1)*7+IF(A24=23,INDEX(Impostazioni!$E$18:$G$18,C24),INDEX(Impostazioni!$E$17:$G$17,C24))</f>
        <v>46351</v>
      </c>
      <c r="C24">
        <v>2</v>
      </c>
      <c r="D24" t="s">
        <v>46</v>
      </c>
      <c r="E24" s="15" t="s">
        <v>79</v>
      </c>
      <c r="F24" s="15" t="s">
        <v>80</v>
      </c>
    </row>
    <row r="25" spans="1:6" ht="14.25" customHeight="1" x14ac:dyDescent="0.3">
      <c r="A25">
        <v>8</v>
      </c>
      <c r="B25" s="14">
        <f>Impostazioni!$B$7+(A25-1)*7+IF(A25=23,INDEX(Impostazioni!$E$18:$G$18,C25),INDEX(Impostazioni!$E$17:$G$17,C25))</f>
        <v>46354</v>
      </c>
      <c r="C25">
        <v>3</v>
      </c>
      <c r="D25" t="s">
        <v>46</v>
      </c>
      <c r="E25" s="15" t="s">
        <v>67</v>
      </c>
      <c r="F25" s="15" t="s">
        <v>68</v>
      </c>
    </row>
    <row r="26" spans="1:6" ht="14.25" customHeight="1" x14ac:dyDescent="0.3">
      <c r="A26">
        <v>9</v>
      </c>
      <c r="B26" s="14">
        <f>Impostazioni!$B$7+(A26-1)*7+IF(A26=23,INDEX(Impostazioni!$E$18:$G$18,C26),INDEX(Impostazioni!$E$17:$G$17,C26))</f>
        <v>46356</v>
      </c>
      <c r="C26">
        <v>1</v>
      </c>
      <c r="D26" t="s">
        <v>46</v>
      </c>
      <c r="E26" s="15" t="s">
        <v>81</v>
      </c>
      <c r="F26" s="15" t="s">
        <v>82</v>
      </c>
    </row>
    <row r="27" spans="1:6" ht="72" customHeight="1" x14ac:dyDescent="0.3">
      <c r="A27">
        <v>9</v>
      </c>
      <c r="B27" s="14">
        <f>Impostazioni!$B$7+(A27-1)*7+IF(A27=23,INDEX(Impostazioni!$E$18:$G$18,C27),INDEX(Impostazioni!$E$17:$G$17,C27))</f>
        <v>46358</v>
      </c>
      <c r="C27">
        <v>2</v>
      </c>
      <c r="D27" t="s">
        <v>46</v>
      </c>
      <c r="E27" s="15" t="s">
        <v>83</v>
      </c>
      <c r="F27" s="15" t="s">
        <v>84</v>
      </c>
    </row>
    <row r="28" spans="1:6" ht="14.25" customHeight="1" x14ac:dyDescent="0.3">
      <c r="A28">
        <v>9</v>
      </c>
      <c r="B28" s="14">
        <f>Impostazioni!$B$7+(A28-1)*7+IF(A28=23,INDEX(Impostazioni!$E$18:$G$18,C28),INDEX(Impostazioni!$E$17:$G$17,C28))</f>
        <v>46361</v>
      </c>
      <c r="C28">
        <v>3</v>
      </c>
      <c r="D28" t="s">
        <v>46</v>
      </c>
      <c r="E28" s="15" t="s">
        <v>85</v>
      </c>
      <c r="F28" s="15" t="s">
        <v>86</v>
      </c>
    </row>
    <row r="29" spans="1:6" ht="57" customHeight="1" x14ac:dyDescent="0.3">
      <c r="A29">
        <v>10</v>
      </c>
      <c r="B29" s="14">
        <f>Impostazioni!$B$7+(A29-1)*7+IF(A29=23,INDEX(Impostazioni!$E$18:$G$18,C29),INDEX(Impostazioni!$E$17:$G$17,C29))</f>
        <v>46363</v>
      </c>
      <c r="C29">
        <v>1</v>
      </c>
      <c r="D29" t="s">
        <v>46</v>
      </c>
      <c r="E29" s="15" t="s">
        <v>73</v>
      </c>
      <c r="F29" s="15" t="s">
        <v>74</v>
      </c>
    </row>
    <row r="30" spans="1:6" ht="72" customHeight="1" x14ac:dyDescent="0.3">
      <c r="A30">
        <v>10</v>
      </c>
      <c r="B30" s="14">
        <f>Impostazioni!$B$7+(A30-1)*7+IF(A30=23,INDEX(Impostazioni!$E$18:$G$18,C30),INDEX(Impostazioni!$E$17:$G$17,C30))</f>
        <v>46365</v>
      </c>
      <c r="C30">
        <v>2</v>
      </c>
      <c r="D30" t="s">
        <v>46</v>
      </c>
      <c r="E30" s="15" t="s">
        <v>87</v>
      </c>
      <c r="F30" s="15" t="s">
        <v>88</v>
      </c>
    </row>
    <row r="31" spans="1:6" ht="28.5" customHeight="1" x14ac:dyDescent="0.3">
      <c r="A31">
        <v>10</v>
      </c>
      <c r="B31" s="14">
        <f>Impostazioni!$B$7+(A31-1)*7+IF(A31=23,INDEX(Impostazioni!$E$18:$G$18,C31),INDEX(Impostazioni!$E$17:$G$17,C31))</f>
        <v>46368</v>
      </c>
      <c r="C31">
        <v>3</v>
      </c>
      <c r="D31" t="s">
        <v>46</v>
      </c>
      <c r="E31" s="15" t="s">
        <v>89</v>
      </c>
      <c r="F31" s="15" t="s">
        <v>90</v>
      </c>
    </row>
    <row r="32" spans="1:6" ht="14.25" customHeight="1" x14ac:dyDescent="0.3">
      <c r="A32">
        <v>11</v>
      </c>
      <c r="B32" s="14">
        <f>Impostazioni!$B$7+(A32-1)*7+IF(A32=23,INDEX(Impostazioni!$E$18:$G$18,C32),INDEX(Impostazioni!$E$17:$G$17,C32))</f>
        <v>46370</v>
      </c>
      <c r="C32">
        <v>1</v>
      </c>
      <c r="D32" t="s">
        <v>46</v>
      </c>
      <c r="E32" s="15" t="s">
        <v>81</v>
      </c>
      <c r="F32" s="15" t="s">
        <v>82</v>
      </c>
    </row>
    <row r="33" spans="1:6" ht="72" customHeight="1" x14ac:dyDescent="0.3">
      <c r="A33">
        <v>11</v>
      </c>
      <c r="B33" s="14">
        <f>Impostazioni!$B$7+(A33-1)*7+IF(A33=23,INDEX(Impostazioni!$E$18:$G$18,C33),INDEX(Impostazioni!$E$17:$G$17,C33))</f>
        <v>46372</v>
      </c>
      <c r="C33">
        <v>2</v>
      </c>
      <c r="D33" t="s">
        <v>46</v>
      </c>
      <c r="E33" s="15" t="s">
        <v>91</v>
      </c>
      <c r="F33" s="15" t="s">
        <v>92</v>
      </c>
    </row>
    <row r="34" spans="1:6" ht="14.25" customHeight="1" x14ac:dyDescent="0.3">
      <c r="A34">
        <v>11</v>
      </c>
      <c r="B34" s="14">
        <f>Impostazioni!$B$7+(A34-1)*7+IF(A34=23,INDEX(Impostazioni!$E$18:$G$18,C34),INDEX(Impostazioni!$E$17:$G$17,C34))</f>
        <v>46375</v>
      </c>
      <c r="C34">
        <v>3</v>
      </c>
      <c r="D34" t="s">
        <v>46</v>
      </c>
      <c r="E34" s="15" t="s">
        <v>93</v>
      </c>
      <c r="F34" s="15" t="s">
        <v>94</v>
      </c>
    </row>
    <row r="35" spans="1:6" ht="14.25" customHeight="1" x14ac:dyDescent="0.3">
      <c r="A35">
        <v>12</v>
      </c>
      <c r="B35" s="14">
        <f>Impostazioni!$B$7+(A35-1)*7+IF(A35=23,INDEX(Impostazioni!$E$18:$G$18,C35),INDEX(Impostazioni!$E$17:$G$17,C35))</f>
        <v>46377</v>
      </c>
      <c r="C35">
        <v>1</v>
      </c>
      <c r="D35" t="s">
        <v>46</v>
      </c>
      <c r="E35" s="15" t="s">
        <v>53</v>
      </c>
      <c r="F35" s="15" t="s">
        <v>54</v>
      </c>
    </row>
    <row r="36" spans="1:6" ht="72" customHeight="1" x14ac:dyDescent="0.3">
      <c r="A36">
        <v>12</v>
      </c>
      <c r="B36" s="14">
        <f>Impostazioni!$B$7+(A36-1)*7+IF(A36=23,INDEX(Impostazioni!$E$18:$G$18,C36),INDEX(Impostazioni!$E$17:$G$17,C36))</f>
        <v>46379</v>
      </c>
      <c r="C36">
        <v>2</v>
      </c>
      <c r="D36" t="s">
        <v>46</v>
      </c>
      <c r="E36" s="15" t="s">
        <v>95</v>
      </c>
      <c r="F36" s="15" t="s">
        <v>96</v>
      </c>
    </row>
    <row r="37" spans="1:6" ht="14.25" customHeight="1" x14ac:dyDescent="0.3">
      <c r="A37">
        <v>12</v>
      </c>
      <c r="B37" s="14">
        <f>Impostazioni!$B$7+(A37-1)*7+IF(A37=23,INDEX(Impostazioni!$E$18:$G$18,C37),INDEX(Impostazioni!$E$17:$G$17,C37))</f>
        <v>46382</v>
      </c>
      <c r="C37">
        <v>3</v>
      </c>
      <c r="D37" t="s">
        <v>46</v>
      </c>
      <c r="E37" s="15" t="s">
        <v>71</v>
      </c>
      <c r="F37" s="15" t="s">
        <v>72</v>
      </c>
    </row>
    <row r="38" spans="1:6" ht="57" customHeight="1" x14ac:dyDescent="0.3">
      <c r="A38">
        <v>13</v>
      </c>
      <c r="B38" s="14">
        <f>Impostazioni!$B$7+(A38-1)*7+IF(A38=23,INDEX(Impostazioni!$E$18:$G$18,C38),INDEX(Impostazioni!$E$17:$G$17,C38))</f>
        <v>46384</v>
      </c>
      <c r="C38">
        <v>1</v>
      </c>
      <c r="D38" t="s">
        <v>46</v>
      </c>
      <c r="E38" s="15" t="s">
        <v>73</v>
      </c>
      <c r="F38" s="15" t="s">
        <v>74</v>
      </c>
    </row>
    <row r="39" spans="1:6" ht="72" customHeight="1" x14ac:dyDescent="0.3">
      <c r="A39">
        <v>13</v>
      </c>
      <c r="B39" s="14">
        <f>Impostazioni!$B$7+(A39-1)*7+IF(A39=23,INDEX(Impostazioni!$E$18:$G$18,C39),INDEX(Impostazioni!$E$17:$G$17,C39))</f>
        <v>46386</v>
      </c>
      <c r="C39">
        <v>2</v>
      </c>
      <c r="D39" t="s">
        <v>46</v>
      </c>
      <c r="E39" s="15" t="s">
        <v>97</v>
      </c>
      <c r="F39" s="15" t="s">
        <v>98</v>
      </c>
    </row>
    <row r="40" spans="1:6" ht="28.5" customHeight="1" x14ac:dyDescent="0.3">
      <c r="A40">
        <v>13</v>
      </c>
      <c r="B40" s="14">
        <f>Impostazioni!$B$7+(A40-1)*7+IF(A40=23,INDEX(Impostazioni!$E$18:$G$18,C40),INDEX(Impostazioni!$E$17:$G$17,C40))</f>
        <v>46389</v>
      </c>
      <c r="C40">
        <v>3</v>
      </c>
      <c r="D40" t="s">
        <v>46</v>
      </c>
      <c r="E40" s="15" t="s">
        <v>99</v>
      </c>
      <c r="F40" s="15" t="s">
        <v>100</v>
      </c>
    </row>
    <row r="41" spans="1:6" ht="14.25" customHeight="1" x14ac:dyDescent="0.3">
      <c r="A41">
        <v>14</v>
      </c>
      <c r="B41" s="14">
        <f>Impostazioni!$B$7+(A41-1)*7+IF(A41=23,INDEX(Impostazioni!$E$18:$G$18,C41),INDEX(Impostazioni!$E$17:$G$17,C41))</f>
        <v>46391</v>
      </c>
      <c r="C41">
        <v>1</v>
      </c>
      <c r="D41" t="s">
        <v>46</v>
      </c>
      <c r="E41" s="15" t="s">
        <v>81</v>
      </c>
      <c r="F41" s="15" t="s">
        <v>82</v>
      </c>
    </row>
    <row r="42" spans="1:6" ht="72" customHeight="1" x14ac:dyDescent="0.3">
      <c r="A42">
        <v>14</v>
      </c>
      <c r="B42" s="14">
        <f>Impostazioni!$B$7+(A42-1)*7+IF(A42=23,INDEX(Impostazioni!$E$18:$G$18,C42),INDEX(Impostazioni!$E$17:$G$17,C42))</f>
        <v>46393</v>
      </c>
      <c r="C42">
        <v>2</v>
      </c>
      <c r="D42" t="s">
        <v>46</v>
      </c>
      <c r="E42" s="15" t="s">
        <v>101</v>
      </c>
      <c r="F42" s="15" t="s">
        <v>102</v>
      </c>
    </row>
    <row r="43" spans="1:6" ht="14.25" customHeight="1" x14ac:dyDescent="0.3">
      <c r="A43">
        <v>14</v>
      </c>
      <c r="B43" s="14">
        <f>Impostazioni!$B$7+(A43-1)*7+IF(A43=23,INDEX(Impostazioni!$E$18:$G$18,C43),INDEX(Impostazioni!$E$17:$G$17,C43))</f>
        <v>46396</v>
      </c>
      <c r="C43">
        <v>3</v>
      </c>
      <c r="D43" t="s">
        <v>46</v>
      </c>
      <c r="E43" s="15" t="s">
        <v>103</v>
      </c>
      <c r="F43" s="15" t="s">
        <v>104</v>
      </c>
    </row>
    <row r="44" spans="1:6" ht="57" customHeight="1" x14ac:dyDescent="0.3">
      <c r="A44">
        <v>15</v>
      </c>
      <c r="B44" s="14">
        <f>Impostazioni!$B$7+(A44-1)*7+IF(A44=23,INDEX(Impostazioni!$E$18:$G$18,C44),INDEX(Impostazioni!$E$17:$G$17,C44))</f>
        <v>46398</v>
      </c>
      <c r="C44">
        <v>1</v>
      </c>
      <c r="D44" t="s">
        <v>46</v>
      </c>
      <c r="E44" s="15" t="s">
        <v>105</v>
      </c>
      <c r="F44" s="15" t="s">
        <v>106</v>
      </c>
    </row>
    <row r="45" spans="1:6" ht="72" customHeight="1" x14ac:dyDescent="0.3">
      <c r="A45">
        <v>15</v>
      </c>
      <c r="B45" s="14">
        <f>Impostazioni!$B$7+(A45-1)*7+IF(A45=23,INDEX(Impostazioni!$E$18:$G$18,C45),INDEX(Impostazioni!$E$17:$G$17,C45))</f>
        <v>46400</v>
      </c>
      <c r="C45">
        <v>2</v>
      </c>
      <c r="D45" t="s">
        <v>46</v>
      </c>
      <c r="E45" s="15" t="s">
        <v>107</v>
      </c>
      <c r="F45" s="15" t="s">
        <v>108</v>
      </c>
    </row>
    <row r="46" spans="1:6" ht="28.5" customHeight="1" x14ac:dyDescent="0.3">
      <c r="A46">
        <v>15</v>
      </c>
      <c r="B46" s="14">
        <f>Impostazioni!$B$7+(A46-1)*7+IF(A46=23,INDEX(Impostazioni!$E$18:$G$18,C46),INDEX(Impostazioni!$E$17:$G$17,C46))</f>
        <v>46403</v>
      </c>
      <c r="C46">
        <v>3</v>
      </c>
      <c r="D46" t="s">
        <v>46</v>
      </c>
      <c r="E46" s="15" t="s">
        <v>109</v>
      </c>
      <c r="F46" s="15" t="s">
        <v>110</v>
      </c>
    </row>
    <row r="47" spans="1:6" ht="14.25" customHeight="1" x14ac:dyDescent="0.3">
      <c r="A47">
        <v>16</v>
      </c>
      <c r="B47" s="14">
        <f>Impostazioni!$B$7+(A47-1)*7+IF(A47=23,INDEX(Impostazioni!$E$18:$G$18,C47),INDEX(Impostazioni!$E$17:$G$17,C47))</f>
        <v>46405</v>
      </c>
      <c r="C47">
        <v>1</v>
      </c>
      <c r="D47" t="s">
        <v>46</v>
      </c>
      <c r="E47" s="15" t="s">
        <v>53</v>
      </c>
      <c r="F47" s="15" t="s">
        <v>54</v>
      </c>
    </row>
    <row r="48" spans="1:6" ht="57" customHeight="1" x14ac:dyDescent="0.3">
      <c r="A48">
        <v>16</v>
      </c>
      <c r="B48" s="14">
        <f>Impostazioni!$B$7+(A48-1)*7+IF(A48=23,INDEX(Impostazioni!$E$18:$G$18,C48),INDEX(Impostazioni!$E$17:$G$17,C48))</f>
        <v>46407</v>
      </c>
      <c r="C48">
        <v>2</v>
      </c>
      <c r="D48" t="s">
        <v>46</v>
      </c>
      <c r="E48" s="15" t="s">
        <v>111</v>
      </c>
      <c r="F48" s="15" t="s">
        <v>112</v>
      </c>
    </row>
    <row r="49" spans="1:6" ht="86.25" customHeight="1" x14ac:dyDescent="0.3">
      <c r="A49">
        <v>16</v>
      </c>
      <c r="B49" s="14">
        <f>Impostazioni!$B$7+(A49-1)*7+IF(A49=23,INDEX(Impostazioni!$E$18:$G$18,C49),INDEX(Impostazioni!$E$17:$G$17,C49))</f>
        <v>46410</v>
      </c>
      <c r="C49">
        <v>3</v>
      </c>
      <c r="D49" t="s">
        <v>46</v>
      </c>
      <c r="E49" s="15" t="s">
        <v>113</v>
      </c>
      <c r="F49" s="15" t="s">
        <v>114</v>
      </c>
    </row>
    <row r="50" spans="1:6" ht="57" customHeight="1" x14ac:dyDescent="0.3">
      <c r="A50">
        <v>17</v>
      </c>
      <c r="B50" s="14">
        <f>Impostazioni!$B$7+(A50-1)*7+IF(A50=23,INDEX(Impostazioni!$E$18:$G$18,C50),INDEX(Impostazioni!$E$17:$G$17,C50))</f>
        <v>46412</v>
      </c>
      <c r="C50">
        <v>1</v>
      </c>
      <c r="D50" t="s">
        <v>46</v>
      </c>
      <c r="E50" s="15" t="s">
        <v>73</v>
      </c>
      <c r="F50" s="15" t="s">
        <v>74</v>
      </c>
    </row>
    <row r="51" spans="1:6" ht="72" customHeight="1" x14ac:dyDescent="0.3">
      <c r="A51">
        <v>17</v>
      </c>
      <c r="B51" s="14">
        <f>Impostazioni!$B$7+(A51-1)*7+IF(A51=23,INDEX(Impostazioni!$E$18:$G$18,C51),INDEX(Impostazioni!$E$17:$G$17,C51))</f>
        <v>46414</v>
      </c>
      <c r="C51">
        <v>2</v>
      </c>
      <c r="D51" t="s">
        <v>46</v>
      </c>
      <c r="E51" s="15" t="s">
        <v>115</v>
      </c>
      <c r="F51" s="15" t="s">
        <v>116</v>
      </c>
    </row>
    <row r="52" spans="1:6" ht="14.25" customHeight="1" x14ac:dyDescent="0.3">
      <c r="A52">
        <v>17</v>
      </c>
      <c r="B52" s="14">
        <f>Impostazioni!$B$7+(A52-1)*7+IF(A52=23,INDEX(Impostazioni!$E$18:$G$18,C52),INDEX(Impostazioni!$E$17:$G$17,C52))</f>
        <v>46417</v>
      </c>
      <c r="C52">
        <v>3</v>
      </c>
      <c r="D52" t="s">
        <v>46</v>
      </c>
      <c r="E52" s="15" t="s">
        <v>103</v>
      </c>
      <c r="F52" s="15" t="s">
        <v>104</v>
      </c>
    </row>
    <row r="53" spans="1:6" ht="57" customHeight="1" x14ac:dyDescent="0.3">
      <c r="A53">
        <v>18</v>
      </c>
      <c r="B53" s="14">
        <f>Impostazioni!$B$7+(A53-1)*7+IF(A53=23,INDEX(Impostazioni!$E$18:$G$18,C53),INDEX(Impostazioni!$E$17:$G$17,C53))</f>
        <v>46419</v>
      </c>
      <c r="C53">
        <v>1</v>
      </c>
      <c r="D53" t="s">
        <v>46</v>
      </c>
      <c r="E53" s="15" t="s">
        <v>105</v>
      </c>
      <c r="F53" s="15" t="s">
        <v>106</v>
      </c>
    </row>
    <row r="54" spans="1:6" ht="72" customHeight="1" x14ac:dyDescent="0.3">
      <c r="A54">
        <v>18</v>
      </c>
      <c r="B54" s="14">
        <f>Impostazioni!$B$7+(A54-1)*7+IF(A54=23,INDEX(Impostazioni!$E$18:$G$18,C54),INDEX(Impostazioni!$E$17:$G$17,C54))</f>
        <v>46421</v>
      </c>
      <c r="C54">
        <v>2</v>
      </c>
      <c r="D54" t="s">
        <v>46</v>
      </c>
      <c r="E54" s="15" t="s">
        <v>117</v>
      </c>
      <c r="F54" s="15" t="s">
        <v>118</v>
      </c>
    </row>
    <row r="55" spans="1:6" ht="14.25" customHeight="1" x14ac:dyDescent="0.3">
      <c r="A55">
        <v>18</v>
      </c>
      <c r="B55" s="14">
        <f>Impostazioni!$B$7+(A55-1)*7+IF(A55=23,INDEX(Impostazioni!$E$18:$G$18,C55),INDEX(Impostazioni!$E$17:$G$17,C55))</f>
        <v>46424</v>
      </c>
      <c r="C55">
        <v>3</v>
      </c>
      <c r="D55" t="s">
        <v>46</v>
      </c>
      <c r="E55" s="15" t="s">
        <v>119</v>
      </c>
      <c r="F55" s="15" t="s">
        <v>120</v>
      </c>
    </row>
    <row r="56" spans="1:6" ht="14.25" customHeight="1" x14ac:dyDescent="0.3">
      <c r="A56">
        <v>19</v>
      </c>
      <c r="B56" s="14">
        <f>Impostazioni!$B$7+(A56-1)*7+IF(A56=23,INDEX(Impostazioni!$E$18:$G$18,C56),INDEX(Impostazioni!$E$17:$G$17,C56))</f>
        <v>46426</v>
      </c>
      <c r="C56">
        <v>1</v>
      </c>
      <c r="D56" t="s">
        <v>46</v>
      </c>
      <c r="E56" s="15" t="s">
        <v>121</v>
      </c>
      <c r="F56" s="15" t="s">
        <v>122</v>
      </c>
    </row>
    <row r="57" spans="1:6" ht="42.75" customHeight="1" x14ac:dyDescent="0.3">
      <c r="A57">
        <v>19</v>
      </c>
      <c r="B57" s="14">
        <f>Impostazioni!$B$7+(A57-1)*7+IF(A57=23,INDEX(Impostazioni!$E$18:$G$18,C57),INDEX(Impostazioni!$E$17:$G$17,C57))</f>
        <v>46428</v>
      </c>
      <c r="C57">
        <v>2</v>
      </c>
      <c r="D57" t="s">
        <v>46</v>
      </c>
      <c r="E57" s="15" t="s">
        <v>123</v>
      </c>
      <c r="F57" s="15" t="s">
        <v>124</v>
      </c>
    </row>
    <row r="58" spans="1:6" ht="28.5" customHeight="1" x14ac:dyDescent="0.3">
      <c r="A58">
        <v>19</v>
      </c>
      <c r="B58" s="14">
        <f>Impostazioni!$B$7+(A58-1)*7+IF(A58=23,INDEX(Impostazioni!$E$18:$G$18,C58),INDEX(Impostazioni!$E$17:$G$17,C58))</f>
        <v>46431</v>
      </c>
      <c r="C58">
        <v>3</v>
      </c>
      <c r="D58" t="s">
        <v>46</v>
      </c>
      <c r="E58" s="15" t="s">
        <v>125</v>
      </c>
      <c r="F58" s="15" t="s">
        <v>126</v>
      </c>
    </row>
    <row r="59" spans="1:6" ht="14.25" customHeight="1" x14ac:dyDescent="0.3">
      <c r="A59">
        <v>20</v>
      </c>
      <c r="B59" s="14">
        <f>Impostazioni!$B$7+(A59-1)*7+IF(A59=23,INDEX(Impostazioni!$E$18:$G$18,C59),INDEX(Impostazioni!$E$17:$G$17,C59))</f>
        <v>46433</v>
      </c>
      <c r="C59">
        <v>1</v>
      </c>
      <c r="D59" t="s">
        <v>46</v>
      </c>
      <c r="E59" s="15" t="s">
        <v>53</v>
      </c>
      <c r="F59" s="15" t="s">
        <v>54</v>
      </c>
    </row>
    <row r="60" spans="1:6" ht="72" customHeight="1" x14ac:dyDescent="0.3">
      <c r="A60">
        <v>20</v>
      </c>
      <c r="B60" s="14">
        <f>Impostazioni!$B$7+(A60-1)*7+IF(A60=23,INDEX(Impostazioni!$E$18:$G$18,C60),INDEX(Impostazioni!$E$17:$G$17,C60))</f>
        <v>46435</v>
      </c>
      <c r="C60">
        <v>2</v>
      </c>
      <c r="D60" t="s">
        <v>46</v>
      </c>
      <c r="E60" s="15" t="s">
        <v>107</v>
      </c>
      <c r="F60" s="15" t="s">
        <v>108</v>
      </c>
    </row>
    <row r="61" spans="1:6" ht="14.25" customHeight="1" x14ac:dyDescent="0.3">
      <c r="A61">
        <v>20</v>
      </c>
      <c r="B61" s="14">
        <f>Impostazioni!$B$7+(A61-1)*7+IF(A61=23,INDEX(Impostazioni!$E$18:$G$18,C61),INDEX(Impostazioni!$E$17:$G$17,C61))</f>
        <v>46438</v>
      </c>
      <c r="C61">
        <v>3</v>
      </c>
      <c r="D61" t="s">
        <v>46</v>
      </c>
      <c r="E61" s="15" t="s">
        <v>127</v>
      </c>
      <c r="F61" s="15" t="s">
        <v>128</v>
      </c>
    </row>
    <row r="62" spans="1:6" ht="57" customHeight="1" x14ac:dyDescent="0.3">
      <c r="A62">
        <v>21</v>
      </c>
      <c r="B62" s="14">
        <f>Impostazioni!$B$7+(A62-1)*7+IF(A62=23,INDEX(Impostazioni!$E$18:$G$18,C62),INDEX(Impostazioni!$E$17:$G$17,C62))</f>
        <v>46440</v>
      </c>
      <c r="C62">
        <v>1</v>
      </c>
      <c r="D62" t="s">
        <v>46</v>
      </c>
      <c r="E62" s="15" t="s">
        <v>105</v>
      </c>
      <c r="F62" s="15" t="s">
        <v>106</v>
      </c>
    </row>
    <row r="63" spans="1:6" ht="72" customHeight="1" x14ac:dyDescent="0.3">
      <c r="A63">
        <v>21</v>
      </c>
      <c r="B63" s="14">
        <f>Impostazioni!$B$7+(A63-1)*7+IF(A63=23,INDEX(Impostazioni!$E$18:$G$18,C63),INDEX(Impostazioni!$E$17:$G$17,C63))</f>
        <v>46442</v>
      </c>
      <c r="C63">
        <v>2</v>
      </c>
      <c r="D63" t="s">
        <v>46</v>
      </c>
      <c r="E63" s="15" t="s">
        <v>129</v>
      </c>
      <c r="F63" s="15" t="s">
        <v>130</v>
      </c>
    </row>
    <row r="64" spans="1:6" ht="28.5" customHeight="1" x14ac:dyDescent="0.3">
      <c r="A64">
        <v>21</v>
      </c>
      <c r="B64" s="14">
        <f>Impostazioni!$B$7+(A64-1)*7+IF(A64=23,INDEX(Impostazioni!$E$18:$G$18,C64),INDEX(Impostazioni!$E$17:$G$17,C64))</f>
        <v>46445</v>
      </c>
      <c r="C64">
        <v>3</v>
      </c>
      <c r="D64" t="s">
        <v>46</v>
      </c>
      <c r="E64" s="15" t="s">
        <v>131</v>
      </c>
      <c r="F64" s="15" t="s">
        <v>132</v>
      </c>
    </row>
    <row r="65" spans="1:6" ht="14.25" customHeight="1" x14ac:dyDescent="0.3">
      <c r="A65">
        <v>22</v>
      </c>
      <c r="B65" s="14">
        <f>Impostazioni!$B$7+(A65-1)*7+IF(A65=23,INDEX(Impostazioni!$E$18:$G$18,C65),INDEX(Impostazioni!$E$17:$G$17,C65))</f>
        <v>46447</v>
      </c>
      <c r="C65">
        <v>1</v>
      </c>
      <c r="D65" t="s">
        <v>46</v>
      </c>
      <c r="E65" s="15" t="s">
        <v>81</v>
      </c>
      <c r="F65" s="15" t="s">
        <v>82</v>
      </c>
    </row>
    <row r="66" spans="1:6" ht="72" customHeight="1" x14ac:dyDescent="0.3">
      <c r="A66">
        <v>22</v>
      </c>
      <c r="B66" s="14">
        <f>Impostazioni!$B$7+(A66-1)*7+IF(A66=23,INDEX(Impostazioni!$E$18:$G$18,C66),INDEX(Impostazioni!$E$17:$G$17,C66))</f>
        <v>46449</v>
      </c>
      <c r="C66">
        <v>2</v>
      </c>
      <c r="D66" t="s">
        <v>46</v>
      </c>
      <c r="E66" s="15" t="s">
        <v>133</v>
      </c>
      <c r="F66" s="15" t="s">
        <v>134</v>
      </c>
    </row>
    <row r="67" spans="1:6" ht="28.5" customHeight="1" x14ac:dyDescent="0.3">
      <c r="A67">
        <v>22</v>
      </c>
      <c r="B67" s="14">
        <f>Impostazioni!$B$7+(A67-1)*7+IF(A67=23,INDEX(Impostazioni!$E$18:$G$18,C67),INDEX(Impostazioni!$E$17:$G$17,C67))</f>
        <v>46452</v>
      </c>
      <c r="C67">
        <v>3</v>
      </c>
      <c r="D67" t="s">
        <v>46</v>
      </c>
      <c r="E67" s="15" t="s">
        <v>135</v>
      </c>
      <c r="F67" s="15" t="s">
        <v>136</v>
      </c>
    </row>
    <row r="68" spans="1:6" ht="57" customHeight="1" x14ac:dyDescent="0.3">
      <c r="A68">
        <v>23</v>
      </c>
      <c r="B68" s="14">
        <f>Impostazioni!$B$7+(A68-1)*7+IF(A68=23,INDEX(Impostazioni!$E$18:$G$18,C68),INDEX(Impostazioni!$E$17:$G$17,C68))</f>
        <v>46458</v>
      </c>
      <c r="C68">
        <v>1</v>
      </c>
      <c r="D68" t="s">
        <v>46</v>
      </c>
      <c r="E68" s="15" t="s">
        <v>51</v>
      </c>
      <c r="F68" s="15" t="s">
        <v>52</v>
      </c>
    </row>
    <row r="69" spans="1:6" ht="72" customHeight="1" x14ac:dyDescent="0.3">
      <c r="A69">
        <v>23</v>
      </c>
      <c r="B69" s="14">
        <f>Impostazioni!$B$7+(A69-1)*7+IF(A69=23,INDEX(Impostazioni!$E$18:$G$18,C69),INDEX(Impostazioni!$E$17:$G$17,C69))</f>
        <v>46456</v>
      </c>
      <c r="C69">
        <v>2</v>
      </c>
      <c r="D69" t="s">
        <v>46</v>
      </c>
      <c r="E69" s="15" t="s">
        <v>137</v>
      </c>
      <c r="F69" s="15" t="s">
        <v>138</v>
      </c>
    </row>
    <row r="70" spans="1:6" ht="28.5" customHeight="1" x14ac:dyDescent="0.3">
      <c r="A70">
        <v>23</v>
      </c>
      <c r="B70" s="14">
        <f>Impostazioni!$B$7+(A70-1)*7+IF(A70=23,INDEX(Impostazioni!$E$18:$G$18,C70),INDEX(Impostazioni!$E$17:$G$17,C70))</f>
        <v>46460</v>
      </c>
      <c r="C70">
        <v>3</v>
      </c>
      <c r="D70" t="s">
        <v>46</v>
      </c>
      <c r="E70" s="15" t="s">
        <v>139</v>
      </c>
      <c r="F70" s="15" t="s">
        <v>140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&amp;L&amp;"Aptos"&amp;10&amp;K000000 General Business&amp;1#_x000D_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zoomScaleNormal="100" workbookViewId="0"/>
  </sheetViews>
  <sheetFormatPr defaultColWidth="8.6640625" defaultRowHeight="14.4" x14ac:dyDescent="0.3"/>
  <cols>
    <col min="1" max="1" width="18" customWidth="1"/>
    <col min="2" max="2" width="10" customWidth="1"/>
    <col min="3" max="3" width="18" customWidth="1"/>
    <col min="4" max="4" width="50" customWidth="1"/>
  </cols>
  <sheetData>
    <row r="1" spans="1:4" x14ac:dyDescent="0.3">
      <c r="A1" t="s">
        <v>141</v>
      </c>
      <c r="B1" t="s">
        <v>142</v>
      </c>
      <c r="C1" t="s">
        <v>143</v>
      </c>
      <c r="D1" t="s">
        <v>144</v>
      </c>
    </row>
    <row r="2" spans="1:4" x14ac:dyDescent="0.3">
      <c r="A2" t="s">
        <v>145</v>
      </c>
      <c r="B2" t="s">
        <v>146</v>
      </c>
      <c r="C2" s="16" t="s">
        <v>147</v>
      </c>
      <c r="D2" t="s">
        <v>148</v>
      </c>
    </row>
    <row r="3" spans="1:4" x14ac:dyDescent="0.3">
      <c r="A3" t="s">
        <v>149</v>
      </c>
      <c r="B3" t="s">
        <v>146</v>
      </c>
      <c r="C3" s="16" t="s">
        <v>150</v>
      </c>
      <c r="D3" t="s">
        <v>151</v>
      </c>
    </row>
    <row r="4" spans="1:4" x14ac:dyDescent="0.3">
      <c r="A4" t="s">
        <v>152</v>
      </c>
      <c r="B4" t="s">
        <v>146</v>
      </c>
      <c r="C4" s="16" t="s">
        <v>153</v>
      </c>
      <c r="D4" t="s">
        <v>154</v>
      </c>
    </row>
    <row r="5" spans="1:4" x14ac:dyDescent="0.3">
      <c r="A5" t="s">
        <v>155</v>
      </c>
      <c r="B5" t="s">
        <v>146</v>
      </c>
      <c r="C5" s="16" t="s">
        <v>156</v>
      </c>
      <c r="D5" t="s">
        <v>157</v>
      </c>
    </row>
    <row r="6" spans="1:4" x14ac:dyDescent="0.3">
      <c r="A6" t="s">
        <v>158</v>
      </c>
      <c r="B6" t="s">
        <v>146</v>
      </c>
      <c r="C6" s="16" t="s">
        <v>159</v>
      </c>
      <c r="D6" t="s">
        <v>160</v>
      </c>
    </row>
    <row r="7" spans="1:4" x14ac:dyDescent="0.3">
      <c r="A7" t="s">
        <v>161</v>
      </c>
      <c r="B7" t="s">
        <v>146</v>
      </c>
      <c r="C7" s="16" t="s">
        <v>150</v>
      </c>
      <c r="D7" t="s">
        <v>162</v>
      </c>
    </row>
    <row r="8" spans="1:4" x14ac:dyDescent="0.3">
      <c r="A8" t="s">
        <v>163</v>
      </c>
      <c r="B8" t="s">
        <v>146</v>
      </c>
      <c r="C8" s="16" t="s">
        <v>164</v>
      </c>
      <c r="D8" t="s">
        <v>165</v>
      </c>
    </row>
    <row r="9" spans="1:4" x14ac:dyDescent="0.3">
      <c r="A9" t="s">
        <v>166</v>
      </c>
      <c r="B9" t="s">
        <v>146</v>
      </c>
      <c r="C9" s="16" t="s">
        <v>153</v>
      </c>
      <c r="D9" t="s">
        <v>167</v>
      </c>
    </row>
    <row r="10" spans="1:4" x14ac:dyDescent="0.3">
      <c r="A10" t="s">
        <v>168</v>
      </c>
      <c r="B10" t="s">
        <v>146</v>
      </c>
      <c r="C10" s="16" t="s">
        <v>156</v>
      </c>
      <c r="D10" t="s">
        <v>169</v>
      </c>
    </row>
    <row r="11" spans="1:4" x14ac:dyDescent="0.3">
      <c r="A11" t="s">
        <v>170</v>
      </c>
      <c r="B11" t="s">
        <v>146</v>
      </c>
      <c r="C11" s="16" t="s">
        <v>159</v>
      </c>
      <c r="D11" t="s">
        <v>171</v>
      </c>
    </row>
    <row r="12" spans="1:4" x14ac:dyDescent="0.3">
      <c r="A12" t="s">
        <v>172</v>
      </c>
      <c r="B12" t="s">
        <v>146</v>
      </c>
      <c r="C12" s="16" t="s">
        <v>173</v>
      </c>
      <c r="D12" t="s">
        <v>174</v>
      </c>
    </row>
    <row r="13" spans="1:4" x14ac:dyDescent="0.3">
      <c r="A13" t="s">
        <v>175</v>
      </c>
      <c r="B13" t="s">
        <v>146</v>
      </c>
      <c r="C13" s="16" t="s">
        <v>147</v>
      </c>
      <c r="D13" t="s">
        <v>176</v>
      </c>
    </row>
    <row r="14" spans="1:4" x14ac:dyDescent="0.3">
      <c r="A14" t="s">
        <v>177</v>
      </c>
      <c r="B14" t="s">
        <v>146</v>
      </c>
      <c r="C14" s="16" t="s">
        <v>178</v>
      </c>
      <c r="D14" t="s">
        <v>179</v>
      </c>
    </row>
    <row r="15" spans="1:4" x14ac:dyDescent="0.3">
      <c r="A15" t="s">
        <v>180</v>
      </c>
      <c r="B15" t="s">
        <v>181</v>
      </c>
      <c r="C15" s="16" t="s">
        <v>182</v>
      </c>
      <c r="D15" t="s">
        <v>183</v>
      </c>
    </row>
    <row r="16" spans="1:4" x14ac:dyDescent="0.3">
      <c r="A16" t="s">
        <v>184</v>
      </c>
      <c r="B16" t="s">
        <v>181</v>
      </c>
      <c r="C16" s="16" t="s">
        <v>185</v>
      </c>
      <c r="D16" t="s">
        <v>186</v>
      </c>
    </row>
    <row r="17" spans="1:4" x14ac:dyDescent="0.3">
      <c r="A17" t="s">
        <v>187</v>
      </c>
      <c r="B17" t="s">
        <v>181</v>
      </c>
      <c r="C17" s="16" t="s">
        <v>188</v>
      </c>
      <c r="D17" t="s">
        <v>189</v>
      </c>
    </row>
    <row r="18" spans="1:4" x14ac:dyDescent="0.3">
      <c r="A18" t="s">
        <v>190</v>
      </c>
      <c r="B18" t="s">
        <v>181</v>
      </c>
      <c r="C18" s="16" t="s">
        <v>191</v>
      </c>
      <c r="D18" t="s">
        <v>192</v>
      </c>
    </row>
    <row r="19" spans="1:4" x14ac:dyDescent="0.3">
      <c r="A19" t="s">
        <v>193</v>
      </c>
      <c r="B19" t="s">
        <v>181</v>
      </c>
      <c r="C19" s="16" t="s">
        <v>194</v>
      </c>
      <c r="D19" t="s">
        <v>195</v>
      </c>
    </row>
    <row r="20" spans="1:4" x14ac:dyDescent="0.3">
      <c r="A20" t="s">
        <v>196</v>
      </c>
      <c r="B20" t="s">
        <v>181</v>
      </c>
      <c r="C20" s="16" t="s">
        <v>197</v>
      </c>
      <c r="D20" t="s">
        <v>198</v>
      </c>
    </row>
    <row r="21" spans="1:4" x14ac:dyDescent="0.3">
      <c r="A21" t="s">
        <v>199</v>
      </c>
      <c r="B21" t="s">
        <v>181</v>
      </c>
      <c r="C21" s="16" t="s">
        <v>178</v>
      </c>
      <c r="D21" t="s">
        <v>200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&amp;L&amp;"Aptos"&amp;10&amp;K000000 General Business&amp;1#_x000D_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4"/>
  <sheetViews>
    <sheetView zoomScaleNormal="100" workbookViewId="0"/>
  </sheetViews>
  <sheetFormatPr defaultColWidth="8.6640625" defaultRowHeight="14.4" x14ac:dyDescent="0.3"/>
  <cols>
    <col min="1" max="1" width="25" customWidth="1"/>
    <col min="2" max="2" width="80" customWidth="1"/>
    <col min="3" max="3" width="50" customWidth="1"/>
  </cols>
  <sheetData>
    <row r="1" spans="1:3" x14ac:dyDescent="0.3">
      <c r="A1" t="s">
        <v>201</v>
      </c>
      <c r="B1" t="s">
        <v>202</v>
      </c>
      <c r="C1" t="s">
        <v>203</v>
      </c>
    </row>
    <row r="2" spans="1:3" x14ac:dyDescent="0.3">
      <c r="A2" s="17" t="s">
        <v>204</v>
      </c>
      <c r="B2" s="17" t="s">
        <v>205</v>
      </c>
      <c r="C2" s="17" t="s">
        <v>206</v>
      </c>
    </row>
    <row r="3" spans="1:3" x14ac:dyDescent="0.3">
      <c r="A3" s="17" t="s">
        <v>204</v>
      </c>
      <c r="B3" s="17" t="s">
        <v>207</v>
      </c>
      <c r="C3" s="17" t="s">
        <v>208</v>
      </c>
    </row>
    <row r="4" spans="1:3" x14ac:dyDescent="0.3">
      <c r="A4" s="17" t="s">
        <v>204</v>
      </c>
      <c r="B4" s="17" t="s">
        <v>209</v>
      </c>
      <c r="C4" s="17" t="s">
        <v>210</v>
      </c>
    </row>
    <row r="5" spans="1:3" x14ac:dyDescent="0.3">
      <c r="A5" s="17" t="s">
        <v>211</v>
      </c>
      <c r="B5" s="17" t="s">
        <v>212</v>
      </c>
      <c r="C5" s="17" t="s">
        <v>213</v>
      </c>
    </row>
    <row r="6" spans="1:3" x14ac:dyDescent="0.3">
      <c r="A6" s="17" t="s">
        <v>211</v>
      </c>
      <c r="B6" s="17" t="s">
        <v>214</v>
      </c>
      <c r="C6" s="17" t="s">
        <v>215</v>
      </c>
    </row>
    <row r="7" spans="1:3" x14ac:dyDescent="0.3">
      <c r="A7" s="17" t="s">
        <v>211</v>
      </c>
      <c r="B7" s="17" t="s">
        <v>216</v>
      </c>
      <c r="C7" s="17" t="s">
        <v>217</v>
      </c>
    </row>
    <row r="8" spans="1:3" x14ac:dyDescent="0.3">
      <c r="A8" s="17" t="s">
        <v>218</v>
      </c>
      <c r="B8" s="17" t="s">
        <v>219</v>
      </c>
      <c r="C8" s="17" t="s">
        <v>220</v>
      </c>
    </row>
    <row r="9" spans="1:3" x14ac:dyDescent="0.3">
      <c r="A9" s="17" t="s">
        <v>218</v>
      </c>
      <c r="B9" s="17" t="s">
        <v>221</v>
      </c>
      <c r="C9" s="17" t="s">
        <v>222</v>
      </c>
    </row>
    <row r="10" spans="1:3" x14ac:dyDescent="0.3">
      <c r="A10" s="17" t="s">
        <v>218</v>
      </c>
      <c r="B10" s="17" t="s">
        <v>223</v>
      </c>
      <c r="C10" s="17" t="s">
        <v>224</v>
      </c>
    </row>
    <row r="11" spans="1:3" x14ac:dyDescent="0.3">
      <c r="A11" s="17" t="s">
        <v>218</v>
      </c>
      <c r="B11" s="17" t="s">
        <v>225</v>
      </c>
      <c r="C11" s="17" t="s">
        <v>226</v>
      </c>
    </row>
    <row r="12" spans="1:3" x14ac:dyDescent="0.3">
      <c r="A12" s="17" t="s">
        <v>218</v>
      </c>
      <c r="B12" s="17" t="s">
        <v>227</v>
      </c>
      <c r="C12" s="17" t="s">
        <v>228</v>
      </c>
    </row>
    <row r="13" spans="1:3" x14ac:dyDescent="0.3">
      <c r="A13" s="17" t="s">
        <v>229</v>
      </c>
      <c r="B13" s="17" t="s">
        <v>230</v>
      </c>
      <c r="C13" s="17" t="s">
        <v>231</v>
      </c>
    </row>
    <row r="14" spans="1:3" x14ac:dyDescent="0.3">
      <c r="A14" s="17" t="s">
        <v>229</v>
      </c>
      <c r="B14" s="17" t="s">
        <v>232</v>
      </c>
      <c r="C14" s="17" t="s">
        <v>233</v>
      </c>
    </row>
    <row r="15" spans="1:3" x14ac:dyDescent="0.3">
      <c r="A15" s="17" t="s">
        <v>229</v>
      </c>
      <c r="B15" s="17" t="s">
        <v>234</v>
      </c>
      <c r="C15" s="17" t="s">
        <v>235</v>
      </c>
    </row>
    <row r="16" spans="1:3" x14ac:dyDescent="0.3">
      <c r="A16" s="17" t="s">
        <v>236</v>
      </c>
      <c r="B16" s="17" t="s">
        <v>205</v>
      </c>
      <c r="C16" s="17" t="s">
        <v>237</v>
      </c>
    </row>
    <row r="17" spans="1:3" x14ac:dyDescent="0.3">
      <c r="A17" s="17" t="s">
        <v>236</v>
      </c>
      <c r="B17" s="17" t="s">
        <v>238</v>
      </c>
      <c r="C17" s="17" t="s">
        <v>239</v>
      </c>
    </row>
    <row r="18" spans="1:3" x14ac:dyDescent="0.3">
      <c r="A18" s="17" t="s">
        <v>236</v>
      </c>
      <c r="B18" s="17" t="s">
        <v>240</v>
      </c>
      <c r="C18" s="17" t="s">
        <v>241</v>
      </c>
    </row>
    <row r="19" spans="1:3" x14ac:dyDescent="0.3">
      <c r="A19" s="17" t="s">
        <v>236</v>
      </c>
      <c r="B19" s="17" t="s">
        <v>242</v>
      </c>
      <c r="C19" s="17" t="s">
        <v>243</v>
      </c>
    </row>
    <row r="20" spans="1:3" x14ac:dyDescent="0.3">
      <c r="A20" s="17" t="s">
        <v>236</v>
      </c>
      <c r="B20" s="17" t="s">
        <v>244</v>
      </c>
      <c r="C20" s="17" t="s">
        <v>245</v>
      </c>
    </row>
    <row r="21" spans="1:3" ht="43.2" x14ac:dyDescent="0.3">
      <c r="A21" s="17" t="s">
        <v>246</v>
      </c>
      <c r="B21" s="17" t="s">
        <v>247</v>
      </c>
      <c r="C21" s="17" t="s">
        <v>248</v>
      </c>
    </row>
    <row r="22" spans="1:3" ht="43.2" x14ac:dyDescent="0.3">
      <c r="A22" s="17" t="s">
        <v>246</v>
      </c>
      <c r="B22" s="17" t="s">
        <v>249</v>
      </c>
      <c r="C22" s="17" t="s">
        <v>250</v>
      </c>
    </row>
    <row r="23" spans="1:3" ht="43.2" x14ac:dyDescent="0.3">
      <c r="A23" s="17" t="s">
        <v>246</v>
      </c>
      <c r="B23" s="17" t="s">
        <v>251</v>
      </c>
      <c r="C23" s="17" t="s">
        <v>252</v>
      </c>
    </row>
    <row r="24" spans="1:3" ht="43.2" x14ac:dyDescent="0.3">
      <c r="A24" s="17" t="s">
        <v>246</v>
      </c>
      <c r="B24" s="17" t="s">
        <v>253</v>
      </c>
      <c r="C24" s="17" t="s">
        <v>254</v>
      </c>
    </row>
    <row r="25" spans="1:3" ht="72" x14ac:dyDescent="0.3">
      <c r="A25" s="17" t="s">
        <v>255</v>
      </c>
      <c r="B25" s="17" t="s">
        <v>256</v>
      </c>
      <c r="C25" s="17" t="s">
        <v>257</v>
      </c>
    </row>
    <row r="26" spans="1:3" ht="86.4" x14ac:dyDescent="0.3">
      <c r="A26" s="17" t="s">
        <v>258</v>
      </c>
      <c r="B26" s="17" t="s">
        <v>259</v>
      </c>
      <c r="C26" s="17" t="s">
        <v>260</v>
      </c>
    </row>
    <row r="27" spans="1:3" ht="72" x14ac:dyDescent="0.3">
      <c r="A27" s="17" t="s">
        <v>258</v>
      </c>
      <c r="B27" s="17" t="s">
        <v>261</v>
      </c>
      <c r="C27" s="17" t="s">
        <v>262</v>
      </c>
    </row>
    <row r="28" spans="1:3" ht="72" x14ac:dyDescent="0.3">
      <c r="A28" s="17" t="s">
        <v>263</v>
      </c>
      <c r="B28" s="17" t="s">
        <v>264</v>
      </c>
      <c r="C28" s="17" t="s">
        <v>265</v>
      </c>
    </row>
    <row r="29" spans="1:3" ht="72" x14ac:dyDescent="0.3">
      <c r="A29" s="17" t="s">
        <v>263</v>
      </c>
      <c r="B29" s="17" t="s">
        <v>266</v>
      </c>
      <c r="C29" s="17" t="s">
        <v>267</v>
      </c>
    </row>
    <row r="30" spans="1:3" ht="72" x14ac:dyDescent="0.3">
      <c r="A30" s="17" t="s">
        <v>263</v>
      </c>
      <c r="B30" s="17" t="s">
        <v>268</v>
      </c>
      <c r="C30" s="17" t="s">
        <v>269</v>
      </c>
    </row>
    <row r="31" spans="1:3" ht="57.6" x14ac:dyDescent="0.3">
      <c r="A31" s="17" t="s">
        <v>263</v>
      </c>
      <c r="B31" s="17" t="s">
        <v>270</v>
      </c>
      <c r="C31" s="17" t="s">
        <v>271</v>
      </c>
    </row>
    <row r="32" spans="1:3" x14ac:dyDescent="0.3">
      <c r="A32" s="17" t="s">
        <v>272</v>
      </c>
      <c r="B32" s="17" t="s">
        <v>273</v>
      </c>
      <c r="C32" s="17" t="s">
        <v>274</v>
      </c>
    </row>
    <row r="33" spans="1:3" x14ac:dyDescent="0.3">
      <c r="A33" s="17" t="s">
        <v>272</v>
      </c>
      <c r="B33" s="17" t="s">
        <v>275</v>
      </c>
      <c r="C33" s="17" t="s">
        <v>276</v>
      </c>
    </row>
    <row r="34" spans="1:3" x14ac:dyDescent="0.3">
      <c r="A34" s="17" t="s">
        <v>272</v>
      </c>
      <c r="B34" s="17" t="s">
        <v>277</v>
      </c>
      <c r="C34" s="17" t="s">
        <v>278</v>
      </c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&amp;L&amp;"Aptos"&amp;10&amp;K000000 General Business&amp;1#_x000D_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3"/>
  <sheetViews>
    <sheetView zoomScaleNormal="100" workbookViewId="0"/>
  </sheetViews>
  <sheetFormatPr defaultColWidth="8.6640625" defaultRowHeight="14.4" x14ac:dyDescent="0.3"/>
  <cols>
    <col min="1" max="1" width="26" customWidth="1"/>
    <col min="5" max="5" width="40" customWidth="1"/>
    <col min="8" max="8" width="12" customWidth="1"/>
  </cols>
  <sheetData>
    <row r="1" spans="1:8" x14ac:dyDescent="0.3">
      <c r="A1" s="3" t="s">
        <v>279</v>
      </c>
      <c r="B1" s="3" t="s">
        <v>17</v>
      </c>
      <c r="C1" s="3" t="s">
        <v>18</v>
      </c>
      <c r="D1" s="3" t="s">
        <v>19</v>
      </c>
      <c r="E1" s="3" t="s">
        <v>280</v>
      </c>
      <c r="F1" s="3"/>
      <c r="G1" s="3" t="s">
        <v>281</v>
      </c>
      <c r="H1" s="3" t="s">
        <v>282</v>
      </c>
    </row>
    <row r="2" spans="1:8" x14ac:dyDescent="0.3">
      <c r="A2" s="9" t="s">
        <v>283</v>
      </c>
      <c r="B2" s="9">
        <v>6</v>
      </c>
      <c r="C2" s="9">
        <v>2</v>
      </c>
      <c r="D2" s="9">
        <v>5</v>
      </c>
      <c r="E2" s="9" t="s">
        <v>284</v>
      </c>
      <c r="F2" s="9"/>
      <c r="G2" s="9">
        <v>0</v>
      </c>
      <c r="H2" s="9" t="s">
        <v>27</v>
      </c>
    </row>
    <row r="3" spans="1:8" x14ac:dyDescent="0.3">
      <c r="A3" s="9" t="s">
        <v>285</v>
      </c>
      <c r="B3" s="9">
        <v>4</v>
      </c>
      <c r="C3" s="9">
        <v>2</v>
      </c>
      <c r="D3" s="9">
        <v>6</v>
      </c>
      <c r="E3" s="9"/>
      <c r="F3" s="9"/>
      <c r="G3" s="9">
        <v>1</v>
      </c>
      <c r="H3" s="9" t="s">
        <v>3</v>
      </c>
    </row>
    <row r="4" spans="1:8" x14ac:dyDescent="0.3">
      <c r="A4" s="9" t="s">
        <v>286</v>
      </c>
      <c r="B4" s="9">
        <v>3</v>
      </c>
      <c r="C4" s="9">
        <v>1</v>
      </c>
      <c r="D4" s="9">
        <v>5</v>
      </c>
      <c r="E4" s="9"/>
      <c r="F4" s="9"/>
      <c r="G4" s="9">
        <v>2</v>
      </c>
      <c r="H4" s="9" t="s">
        <v>28</v>
      </c>
    </row>
    <row r="5" spans="1:8" x14ac:dyDescent="0.3">
      <c r="A5" s="9" t="s">
        <v>287</v>
      </c>
      <c r="B5" s="9">
        <v>1</v>
      </c>
      <c r="C5" s="9">
        <v>3</v>
      </c>
      <c r="D5" s="9">
        <v>6</v>
      </c>
      <c r="E5" s="9"/>
      <c r="F5" s="9"/>
      <c r="G5" s="9">
        <v>3</v>
      </c>
      <c r="H5" s="9" t="s">
        <v>5</v>
      </c>
    </row>
    <row r="6" spans="1:8" x14ac:dyDescent="0.3">
      <c r="A6" s="9" t="s">
        <v>288</v>
      </c>
      <c r="B6" s="9">
        <v>6</v>
      </c>
      <c r="C6" s="9">
        <v>1</v>
      </c>
      <c r="D6" s="9">
        <v>5</v>
      </c>
      <c r="E6" s="9" t="s">
        <v>284</v>
      </c>
      <c r="F6" s="9"/>
      <c r="G6" s="9">
        <v>4</v>
      </c>
      <c r="H6" s="9" t="s">
        <v>29</v>
      </c>
    </row>
    <row r="7" spans="1:8" x14ac:dyDescent="0.3">
      <c r="A7" s="9" t="s">
        <v>289</v>
      </c>
      <c r="B7" s="9">
        <v>4</v>
      </c>
      <c r="C7" s="9">
        <v>2</v>
      </c>
      <c r="D7" s="9">
        <v>6</v>
      </c>
      <c r="E7" s="9"/>
      <c r="F7" s="9"/>
      <c r="G7" s="9">
        <v>5</v>
      </c>
      <c r="H7" s="9" t="s">
        <v>7</v>
      </c>
    </row>
    <row r="8" spans="1:8" x14ac:dyDescent="0.3">
      <c r="A8" s="9" t="s">
        <v>290</v>
      </c>
      <c r="B8" s="9">
        <v>3</v>
      </c>
      <c r="C8" s="9">
        <v>1</v>
      </c>
      <c r="D8" s="9">
        <v>5</v>
      </c>
      <c r="E8" s="9"/>
      <c r="F8" s="9"/>
      <c r="G8" s="9">
        <v>6</v>
      </c>
      <c r="H8" s="9" t="s">
        <v>30</v>
      </c>
    </row>
    <row r="9" spans="1:8" x14ac:dyDescent="0.3">
      <c r="A9" s="9" t="s">
        <v>291</v>
      </c>
      <c r="B9" s="9">
        <v>1</v>
      </c>
      <c r="C9" s="9">
        <v>3</v>
      </c>
      <c r="D9" s="9">
        <v>6</v>
      </c>
      <c r="E9" s="9"/>
      <c r="F9" s="9"/>
      <c r="G9" s="9"/>
      <c r="H9" s="9"/>
    </row>
    <row r="10" spans="1:8" x14ac:dyDescent="0.3">
      <c r="A10" s="9" t="s">
        <v>292</v>
      </c>
      <c r="B10" s="9">
        <v>3</v>
      </c>
      <c r="C10" s="9">
        <v>1</v>
      </c>
      <c r="D10" s="9">
        <v>5</v>
      </c>
      <c r="E10" s="9"/>
      <c r="F10" s="9"/>
      <c r="G10" s="9"/>
      <c r="H10" s="9"/>
    </row>
    <row r="11" spans="1:8" x14ac:dyDescent="0.3">
      <c r="A11" s="9" t="s">
        <v>293</v>
      </c>
      <c r="B11" s="9">
        <v>1</v>
      </c>
      <c r="C11" s="9">
        <v>3</v>
      </c>
      <c r="D11" s="9">
        <v>6</v>
      </c>
      <c r="E11" s="9"/>
      <c r="F11" s="9"/>
      <c r="G11" s="9"/>
      <c r="H11" s="9"/>
    </row>
    <row r="12" spans="1:8" x14ac:dyDescent="0.3">
      <c r="A12" s="9" t="s">
        <v>294</v>
      </c>
      <c r="B12" s="9">
        <v>3</v>
      </c>
      <c r="C12" s="9">
        <v>1</v>
      </c>
      <c r="D12" s="9">
        <v>5</v>
      </c>
      <c r="E12" s="9"/>
      <c r="F12" s="9"/>
      <c r="G12" s="9"/>
      <c r="H12" s="9"/>
    </row>
    <row r="13" spans="1:8" x14ac:dyDescent="0.3">
      <c r="A13" s="9" t="s">
        <v>295</v>
      </c>
      <c r="B13" s="9">
        <v>1</v>
      </c>
      <c r="C13" s="9">
        <v>3</v>
      </c>
      <c r="D13" s="9">
        <v>6</v>
      </c>
      <c r="E13" s="9"/>
      <c r="F13" s="9"/>
      <c r="G13" s="9"/>
      <c r="H13" s="9"/>
    </row>
    <row r="14" spans="1:8" x14ac:dyDescent="0.3">
      <c r="A14" s="9" t="s">
        <v>296</v>
      </c>
      <c r="B14" s="9">
        <v>0</v>
      </c>
      <c r="C14" s="9">
        <v>3</v>
      </c>
      <c r="D14" s="9">
        <v>5</v>
      </c>
      <c r="E14" s="9"/>
      <c r="F14" s="9"/>
      <c r="G14" s="9"/>
      <c r="H14" s="9"/>
    </row>
    <row r="15" spans="1:8" x14ac:dyDescent="0.3">
      <c r="A15" s="9" t="s">
        <v>297</v>
      </c>
      <c r="B15" s="9">
        <v>0</v>
      </c>
      <c r="C15" s="9">
        <v>3</v>
      </c>
      <c r="D15" s="9">
        <v>6</v>
      </c>
      <c r="E15" s="9" t="s">
        <v>284</v>
      </c>
      <c r="F15" s="9"/>
      <c r="G15" s="9"/>
      <c r="H15" s="9"/>
    </row>
    <row r="16" spans="1:8" x14ac:dyDescent="0.3">
      <c r="A16" s="9" t="s">
        <v>298</v>
      </c>
      <c r="B16" s="9">
        <v>0</v>
      </c>
      <c r="C16" s="9">
        <v>2</v>
      </c>
      <c r="D16" s="9">
        <v>5</v>
      </c>
      <c r="E16" s="9"/>
      <c r="F16" s="9"/>
      <c r="G16" s="9"/>
      <c r="H16" s="9"/>
    </row>
    <row r="17" spans="1:8" x14ac:dyDescent="0.3">
      <c r="A17" s="9" t="s">
        <v>299</v>
      </c>
      <c r="B17" s="9">
        <v>4</v>
      </c>
      <c r="C17" s="9">
        <v>2</v>
      </c>
      <c r="D17" s="9">
        <v>6</v>
      </c>
      <c r="E17" s="9"/>
      <c r="F17" s="9"/>
      <c r="G17" s="9"/>
      <c r="H17" s="9"/>
    </row>
    <row r="18" spans="1:8" x14ac:dyDescent="0.3">
      <c r="A18" s="9" t="s">
        <v>300</v>
      </c>
      <c r="B18" s="9">
        <v>0</v>
      </c>
      <c r="C18" s="9">
        <v>2</v>
      </c>
      <c r="D18" s="9">
        <v>5</v>
      </c>
      <c r="E18" s="9"/>
      <c r="F18" s="9"/>
      <c r="G18" s="9"/>
      <c r="H18" s="9"/>
    </row>
    <row r="19" spans="1:8" x14ac:dyDescent="0.3">
      <c r="A19" s="9" t="s">
        <v>301</v>
      </c>
      <c r="B19" s="9">
        <v>0</v>
      </c>
      <c r="C19" s="9">
        <v>2</v>
      </c>
      <c r="D19" s="9">
        <v>6</v>
      </c>
      <c r="E19" s="9" t="s">
        <v>284</v>
      </c>
      <c r="F19" s="9"/>
      <c r="G19" s="9"/>
      <c r="H19" s="9"/>
    </row>
    <row r="20" spans="1:8" x14ac:dyDescent="0.3">
      <c r="A20" s="9" t="s">
        <v>302</v>
      </c>
      <c r="B20" s="9">
        <v>0</v>
      </c>
      <c r="C20" s="9">
        <v>2</v>
      </c>
      <c r="D20" s="9">
        <v>5</v>
      </c>
      <c r="E20" s="9"/>
      <c r="F20" s="9"/>
      <c r="G20" s="9"/>
      <c r="H20" s="9"/>
    </row>
    <row r="21" spans="1:8" x14ac:dyDescent="0.3">
      <c r="A21" s="9" t="s">
        <v>303</v>
      </c>
      <c r="B21" s="9">
        <v>4</v>
      </c>
      <c r="C21" s="9">
        <v>2</v>
      </c>
      <c r="D21" s="9">
        <v>6</v>
      </c>
      <c r="E21" s="9"/>
      <c r="F21" s="9"/>
      <c r="G21" s="9"/>
      <c r="H21" s="9"/>
    </row>
    <row r="22" spans="1:8" x14ac:dyDescent="0.3">
      <c r="A22" s="9" t="s">
        <v>304</v>
      </c>
      <c r="B22" s="9">
        <v>0</v>
      </c>
      <c r="C22" s="9">
        <v>2</v>
      </c>
      <c r="D22" s="9">
        <v>5</v>
      </c>
      <c r="E22" s="9"/>
      <c r="F22" s="9"/>
      <c r="G22" s="9"/>
      <c r="H22" s="9"/>
    </row>
    <row r="23" spans="1:8" x14ac:dyDescent="0.3">
      <c r="A23" s="9" t="s">
        <v>305</v>
      </c>
      <c r="B23" s="9">
        <v>4</v>
      </c>
      <c r="C23" s="9">
        <v>2</v>
      </c>
      <c r="D23" s="9">
        <v>6</v>
      </c>
      <c r="E23" s="9"/>
      <c r="F23" s="9"/>
      <c r="G23" s="9"/>
      <c r="H23" s="9"/>
    </row>
    <row r="24" spans="1:8" x14ac:dyDescent="0.3">
      <c r="A24" s="9" t="s">
        <v>306</v>
      </c>
      <c r="B24" s="9">
        <v>6</v>
      </c>
      <c r="C24" s="9">
        <v>1</v>
      </c>
      <c r="D24" s="9">
        <v>5</v>
      </c>
      <c r="E24" s="9" t="s">
        <v>284</v>
      </c>
      <c r="F24" s="9"/>
      <c r="G24" s="9"/>
      <c r="H24" s="9"/>
    </row>
    <row r="25" spans="1:8" x14ac:dyDescent="0.3">
      <c r="A25" s="9" t="s">
        <v>307</v>
      </c>
      <c r="B25" s="9">
        <v>1</v>
      </c>
      <c r="C25" s="9">
        <v>4</v>
      </c>
      <c r="D25" s="9">
        <v>6</v>
      </c>
      <c r="E25" s="9"/>
      <c r="F25" s="9"/>
      <c r="G25" s="9"/>
      <c r="H25" s="9"/>
    </row>
    <row r="26" spans="1:8" x14ac:dyDescent="0.3">
      <c r="A26" s="9" t="s">
        <v>308</v>
      </c>
      <c r="B26" s="9">
        <v>3</v>
      </c>
      <c r="C26" s="9">
        <v>1</v>
      </c>
      <c r="D26" s="9">
        <v>5</v>
      </c>
      <c r="E26" s="9"/>
      <c r="F26" s="9"/>
      <c r="G26" s="9"/>
      <c r="H26" s="9"/>
    </row>
    <row r="27" spans="1:8" x14ac:dyDescent="0.3">
      <c r="A27" s="9" t="s">
        <v>309</v>
      </c>
      <c r="B27" s="9">
        <v>1</v>
      </c>
      <c r="C27" s="9">
        <v>3</v>
      </c>
      <c r="D27" s="9">
        <v>6</v>
      </c>
      <c r="E27" s="9"/>
      <c r="F27" s="9"/>
      <c r="G27" s="9"/>
      <c r="H27" s="9"/>
    </row>
    <row r="28" spans="1:8" x14ac:dyDescent="0.3">
      <c r="A28" s="9" t="s">
        <v>310</v>
      </c>
      <c r="B28" s="9">
        <v>3</v>
      </c>
      <c r="C28" s="9">
        <v>1</v>
      </c>
      <c r="D28" s="9">
        <v>5</v>
      </c>
      <c r="E28" s="9"/>
      <c r="F28" s="9"/>
      <c r="G28" s="9"/>
      <c r="H28" s="9"/>
    </row>
    <row r="29" spans="1:8" x14ac:dyDescent="0.3">
      <c r="A29" s="9" t="s">
        <v>311</v>
      </c>
      <c r="B29" s="9">
        <v>1</v>
      </c>
      <c r="C29" s="9">
        <v>3</v>
      </c>
      <c r="D29" s="9">
        <v>6</v>
      </c>
      <c r="E29" s="9"/>
      <c r="F29" s="9"/>
      <c r="G29" s="9"/>
      <c r="H29" s="9"/>
    </row>
    <row r="30" spans="1:8" x14ac:dyDescent="0.3">
      <c r="A30" s="9" t="s">
        <v>312</v>
      </c>
      <c r="B30" s="9">
        <v>3</v>
      </c>
      <c r="C30" s="9">
        <v>1</v>
      </c>
      <c r="D30" s="9">
        <v>5</v>
      </c>
      <c r="E30" s="9"/>
      <c r="F30" s="9"/>
      <c r="G30" s="9"/>
      <c r="H30" s="9"/>
    </row>
    <row r="31" spans="1:8" x14ac:dyDescent="0.3">
      <c r="A31" s="9" t="s">
        <v>313</v>
      </c>
      <c r="B31" s="9">
        <v>1</v>
      </c>
      <c r="C31" s="9">
        <v>3</v>
      </c>
      <c r="D31" s="9">
        <v>6</v>
      </c>
      <c r="E31" s="9"/>
      <c r="F31" s="9"/>
      <c r="G31" s="9"/>
      <c r="H31" s="9"/>
    </row>
    <row r="32" spans="1:8" x14ac:dyDescent="0.3">
      <c r="A32" s="9" t="s">
        <v>314</v>
      </c>
      <c r="B32" s="9">
        <v>0</v>
      </c>
      <c r="C32" s="9">
        <v>2</v>
      </c>
      <c r="D32" s="9">
        <v>5</v>
      </c>
      <c r="E32" s="9"/>
      <c r="F32" s="9"/>
      <c r="G32" s="9"/>
      <c r="H32" s="9"/>
    </row>
    <row r="33" spans="1:8" x14ac:dyDescent="0.3">
      <c r="A33" s="9" t="s">
        <v>315</v>
      </c>
      <c r="B33" s="9">
        <v>0</v>
      </c>
      <c r="C33" s="9">
        <v>2</v>
      </c>
      <c r="D33" s="9">
        <v>6</v>
      </c>
      <c r="E33" s="9" t="s">
        <v>284</v>
      </c>
      <c r="F33" s="9"/>
      <c r="G33" s="9"/>
      <c r="H33" s="9"/>
    </row>
    <row r="34" spans="1:8" x14ac:dyDescent="0.3">
      <c r="A34" s="9" t="s">
        <v>316</v>
      </c>
      <c r="B34" s="9">
        <v>0</v>
      </c>
      <c r="C34" s="9">
        <v>2</v>
      </c>
      <c r="D34" s="9">
        <v>5</v>
      </c>
      <c r="E34" s="9"/>
      <c r="F34" s="9"/>
      <c r="G34" s="9"/>
      <c r="H34" s="9"/>
    </row>
    <row r="35" spans="1:8" x14ac:dyDescent="0.3">
      <c r="A35" s="9" t="s">
        <v>317</v>
      </c>
      <c r="B35" s="9">
        <v>4</v>
      </c>
      <c r="C35" s="9">
        <v>2</v>
      </c>
      <c r="D35" s="9">
        <v>6</v>
      </c>
      <c r="E35" s="9"/>
      <c r="F35" s="9"/>
      <c r="G35" s="9"/>
      <c r="H35" s="9"/>
    </row>
    <row r="36" spans="1:8" x14ac:dyDescent="0.3">
      <c r="A36" s="9" t="s">
        <v>318</v>
      </c>
      <c r="B36" s="9">
        <v>0</v>
      </c>
      <c r="C36" s="9">
        <v>2</v>
      </c>
      <c r="D36" s="9">
        <v>5</v>
      </c>
      <c r="E36" s="9"/>
      <c r="F36" s="9"/>
      <c r="G36" s="9"/>
      <c r="H36" s="9"/>
    </row>
    <row r="37" spans="1:8" x14ac:dyDescent="0.3">
      <c r="A37" s="9" t="s">
        <v>319</v>
      </c>
      <c r="B37" s="9">
        <v>4</v>
      </c>
      <c r="C37" s="9">
        <v>2</v>
      </c>
      <c r="D37" s="9">
        <v>6</v>
      </c>
      <c r="E37" s="9"/>
      <c r="F37" s="9"/>
      <c r="G37" s="9"/>
      <c r="H37" s="9"/>
    </row>
    <row r="38" spans="1:8" x14ac:dyDescent="0.3">
      <c r="A38" s="9" t="s">
        <v>320</v>
      </c>
      <c r="B38" s="9">
        <v>0</v>
      </c>
      <c r="C38" s="9">
        <v>2</v>
      </c>
      <c r="D38" s="9">
        <v>5</v>
      </c>
      <c r="E38" s="9"/>
      <c r="F38" s="9"/>
      <c r="G38" s="9"/>
      <c r="H38" s="9"/>
    </row>
    <row r="39" spans="1:8" x14ac:dyDescent="0.3">
      <c r="A39" s="9" t="s">
        <v>321</v>
      </c>
      <c r="B39" s="9">
        <v>1</v>
      </c>
      <c r="C39" s="9">
        <v>3</v>
      </c>
      <c r="D39" s="9">
        <v>6</v>
      </c>
      <c r="E39" s="9"/>
      <c r="F39" s="9"/>
      <c r="G39" s="9"/>
      <c r="H39" s="9"/>
    </row>
    <row r="40" spans="1:8" x14ac:dyDescent="0.3">
      <c r="A40" s="9" t="s">
        <v>322</v>
      </c>
      <c r="B40" s="9">
        <v>0</v>
      </c>
      <c r="C40" s="9">
        <v>2</v>
      </c>
      <c r="D40" s="9">
        <v>5</v>
      </c>
      <c r="E40" s="9"/>
      <c r="F40" s="9"/>
      <c r="G40" s="9"/>
      <c r="H40" s="9"/>
    </row>
    <row r="41" spans="1:8" x14ac:dyDescent="0.3">
      <c r="A41" s="9" t="s">
        <v>323</v>
      </c>
      <c r="B41" s="9">
        <v>1</v>
      </c>
      <c r="C41" s="9">
        <v>3</v>
      </c>
      <c r="D41" s="9">
        <v>6</v>
      </c>
      <c r="E41" s="9"/>
      <c r="F41" s="9"/>
      <c r="G41" s="9"/>
      <c r="H41" s="9"/>
    </row>
    <row r="42" spans="1:8" x14ac:dyDescent="0.3">
      <c r="A42" s="9" t="s">
        <v>324</v>
      </c>
      <c r="B42" s="9">
        <v>0</v>
      </c>
      <c r="C42" s="9">
        <v>2</v>
      </c>
      <c r="D42" s="9">
        <v>5</v>
      </c>
      <c r="E42" s="9"/>
      <c r="F42" s="9"/>
      <c r="G42" s="9"/>
      <c r="H42" s="9"/>
    </row>
    <row r="43" spans="1:8" x14ac:dyDescent="0.3">
      <c r="A43" s="9" t="s">
        <v>325</v>
      </c>
      <c r="B43" s="9">
        <v>1</v>
      </c>
      <c r="C43" s="9">
        <v>3</v>
      </c>
      <c r="D43" s="9">
        <v>6</v>
      </c>
      <c r="E43" s="9"/>
      <c r="F43" s="9"/>
      <c r="G43" s="9"/>
      <c r="H43" s="9"/>
    </row>
  </sheetData>
  <pageMargins left="0.75" right="0.75" top="1" bottom="1" header="0.511811023622047" footer="0.511811023622047"/>
  <pageSetup paperSize="9" orientation="portrait" horizontalDpi="300" verticalDpi="300"/>
  <headerFooter>
    <oddHeader>&amp;L&amp;"Aptos"&amp;10&amp;K000000 General Business&amp;1#_x000D_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Impostazioni</vt:lpstr>
      <vt:lpstr>Workouts</vt:lpstr>
      <vt:lpstr>Parameters</vt:lpstr>
      <vt:lpstr>Esempi DSL</vt:lpstr>
      <vt:lpstr>Regole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PROCHILO Francesco (CNH)</cp:lastModifiedBy>
  <cp:revision>0</cp:revision>
  <dcterms:created xsi:type="dcterms:W3CDTF">2026-09-30T15:03:49Z</dcterms:created>
  <dcterms:modified xsi:type="dcterms:W3CDTF">2026-09-30T15:07:06Z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feb0fb4-c8a5-4461-a7eb-fddbf6a063ea_Enabled">
    <vt:lpwstr>true</vt:lpwstr>
  </property>
  <property fmtid="{D5CDD505-2E9C-101B-9397-08002B2CF9AE}" pid="3" name="MSIP_Label_7feb0fb4-c8a5-4461-a7eb-fddbf6a063ea_SetDate">
    <vt:lpwstr>2026-09-30T15:07:06Z</vt:lpwstr>
  </property>
  <property fmtid="{D5CDD505-2E9C-101B-9397-08002B2CF9AE}" pid="4" name="MSIP_Label_7feb0fb4-c8a5-4461-a7eb-fddbf6a063ea_Method">
    <vt:lpwstr>Standard</vt:lpwstr>
  </property>
  <property fmtid="{D5CDD505-2E9C-101B-9397-08002B2CF9AE}" pid="5" name="MSIP_Label_7feb0fb4-c8a5-4461-a7eb-fddbf6a063ea_Name">
    <vt:lpwstr>General Business</vt:lpwstr>
  </property>
  <property fmtid="{D5CDD505-2E9C-101B-9397-08002B2CF9AE}" pid="6" name="MSIP_Label_7feb0fb4-c8a5-4461-a7eb-fddbf6a063ea_SiteId">
    <vt:lpwstr>79310fb0-d39b-486b-b77b-25f3e0c82a0e</vt:lpwstr>
  </property>
  <property fmtid="{D5CDD505-2E9C-101B-9397-08002B2CF9AE}" pid="7" name="MSIP_Label_7feb0fb4-c8a5-4461-a7eb-fddbf6a063ea_ActionId">
    <vt:lpwstr>48f8b0e1-a7ff-40a3-b300-eece45e14137</vt:lpwstr>
  </property>
  <property fmtid="{D5CDD505-2E9C-101B-9397-08002B2CF9AE}" pid="8" name="MSIP_Label_7feb0fb4-c8a5-4461-a7eb-fddbf6a063ea_ContentBits">
    <vt:lpwstr>1</vt:lpwstr>
  </property>
  <property fmtid="{D5CDD505-2E9C-101B-9397-08002B2CF9AE}" pid="9" name="MSIP_Label_7feb0fb4-c8a5-4461-a7eb-fddbf6a063ea_Tag">
    <vt:lpwstr>10, 3, 0, 1</vt:lpwstr>
  </property>
</Properties>
</file>